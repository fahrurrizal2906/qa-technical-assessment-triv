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Traceability" sheetId="2" r:id="rId6"/>
    <sheet state="visible" name="Test Data" sheetId="3" r:id="rId7"/>
    <sheet state="visible" name="Summary" sheetId="4" r:id="rId8"/>
  </sheets>
  <definedNames>
    <definedName hidden="1" localSheetId="0" name="_xlnm._FilterDatabase">'Test Cases'!$A$1:$K$56</definedName>
  </definedNames>
  <calcPr/>
</workbook>
</file>

<file path=xl/sharedStrings.xml><?xml version="1.0" encoding="utf-8"?>
<sst xmlns="http://schemas.openxmlformats.org/spreadsheetml/2006/main" count="747" uniqueCount="448">
  <si>
    <t>Ringkasan Test Case - Withdraw Rupiah</t>
  </si>
  <si>
    <t>Sumber</t>
  </si>
  <si>
    <t>Test Case ID</t>
  </si>
  <si>
    <t>Req ID</t>
  </si>
  <si>
    <t>Kategori (sesuai assignment)</t>
  </si>
  <si>
    <t>Data</t>
  </si>
  <si>
    <t>Nilai / Keterangan</t>
  </si>
  <si>
    <t>Dipakai di Test Case</t>
  </si>
  <si>
    <t>Kelompok</t>
  </si>
  <si>
    <t>Jumlah TC</t>
  </si>
  <si>
    <t>Requirement</t>
  </si>
  <si>
    <t>Dummy data (dari dokumen)</t>
  </si>
  <si>
    <t>Positive Testing</t>
  </si>
  <si>
    <t>Feature</t>
  </si>
  <si>
    <t>Coverage</t>
  </si>
  <si>
    <t>Test Scenario</t>
  </si>
  <si>
    <t>Test Type</t>
  </si>
  <si>
    <t>A.1</t>
  </si>
  <si>
    <t>Priority</t>
  </si>
  <si>
    <t>Preconditions</t>
  </si>
  <si>
    <t>Test Steps</t>
  </si>
  <si>
    <t>Test Data</t>
  </si>
  <si>
    <t>Expected Result</t>
  </si>
  <si>
    <t>Actual Result</t>
  </si>
  <si>
    <t>Status</t>
  </si>
  <si>
    <t>User ID</t>
  </si>
  <si>
    <t>QA001</t>
  </si>
  <si>
    <t>Username</t>
  </si>
  <si>
    <t>dummy_user</t>
  </si>
  <si>
    <t>WD-POS-01</t>
  </si>
  <si>
    <t>Initial Balance</t>
  </si>
  <si>
    <t>Rp200.000</t>
  </si>
  <si>
    <t>Bank / No. Rekening / Pemilik</t>
  </si>
  <si>
    <t>BCA / 1234567890 / Budi QA</t>
  </si>
  <si>
    <t>Valid OTP</t>
  </si>
  <si>
    <t>123456</t>
  </si>
  <si>
    <t>OTP Expiration</t>
  </si>
  <si>
    <t>Withdrawal Amount</t>
  </si>
  <si>
    <t>60 detik</t>
  </si>
  <si>
    <t>Minimum withdrawal Rp10.000</t>
  </si>
  <si>
    <t>Withdraw Rupiah - End-to-End</t>
  </si>
  <si>
    <t>Admin Fee</t>
  </si>
  <si>
    <t>WD-POS-01, WD-NEG-02, WD-NEG-06, WD-BVA-01, WD-BVA-02, WD-BVA-03, WD-BAL-06</t>
  </si>
  <si>
    <t>Rp2.500</t>
  </si>
  <si>
    <t>Data tambahan</t>
  </si>
  <si>
    <t>Saldo Rp40.000</t>
  </si>
  <si>
    <t>Saldo kurang dari nominal</t>
  </si>
  <si>
    <t>WD-BAL-02</t>
  </si>
  <si>
    <t xml:space="preserve">Withdrawal valid Rp50.000 ke rekening BCA berhasil </t>
  </si>
  <si>
    <t>Saldo Rp50.000</t>
  </si>
  <si>
    <t>Saldo = nominal, kurang fee</t>
  </si>
  <si>
    <t>WD-BAL-03</t>
  </si>
  <si>
    <t>Saldo Rp52.500</t>
  </si>
  <si>
    <t>Saldo = nominal + fee</t>
  </si>
  <si>
    <t>WD-BAL-04, WD-DUP-05</t>
  </si>
  <si>
    <t>Saldo Rp52.499</t>
  </si>
  <si>
    <t>Saldo kurang Rp1 dari nominal + fee</t>
  </si>
  <si>
    <t>WD-BAL-05</t>
  </si>
  <si>
    <t>Saldo Rp5.000</t>
  </si>
  <si>
    <t>Saldo di bawah minimum withdrawal</t>
  </si>
  <si>
    <t>WD-BAL-06</t>
  </si>
  <si>
    <t>Rekening kedua</t>
  </si>
  <si>
    <t>Mandiri / 0987654321 / Siti QA (terverifikasi)</t>
  </si>
  <si>
    <t>WD-BNK-06</t>
  </si>
  <si>
    <t>Negative Testing</t>
  </si>
  <si>
    <t>Rekening belum terverifikasi</t>
  </si>
  <si>
    <t>Status belum terverifikasi</t>
  </si>
  <si>
    <t>WD-BNK-04</t>
  </si>
  <si>
    <t>User tanpa rekening</t>
  </si>
  <si>
    <t>User tanpa rekening terdaftar</t>
  </si>
  <si>
    <t>WD-BNK-03</t>
  </si>
  <si>
    <t>Positive</t>
  </si>
  <si>
    <t>Boundary Value Testing</t>
  </si>
  <si>
    <t>Balance Validation</t>
  </si>
  <si>
    <t>Bank Validation</t>
  </si>
  <si>
    <t>High</t>
  </si>
  <si>
    <t>A.2</t>
  </si>
  <si>
    <t>Maximum withdrawal Rp100.000 per transaksi</t>
  </si>
  <si>
    <t>WD-POS-01, WD-NEG-07, WD-NEG-08, WD-BVA-04, WD-BVA-05, WD-BVA-06</t>
  </si>
  <si>
    <t>OTP Verification</t>
  </si>
  <si>
    <t>A.3</t>
  </si>
  <si>
    <t>Biaya administrasi Rp2.500 per transaksi</t>
  </si>
  <si>
    <t>WD-POS-01, WD-POS-02, WD-BVA-01, WD-BVA-03, WD-BVA-04, WD-BVA-06, WD-BAL-01, WD-BAL-03</t>
  </si>
  <si>
    <t>1. User dummy_user (QA001) sudah login
2. Saldo Rp200.000
3. Rekening BCA 1234567890 a.n. Budi QA terdaftar &amp; terverifikasi
4. Berada di halaman Withdraw Rupiah</t>
  </si>
  <si>
    <t>A.4</t>
  </si>
  <si>
    <t>Saldo harus cukup untuk nominal + biaya administrasi</t>
  </si>
  <si>
    <t>1. Input nominal withdrawal 50000
2. Pilih rekening tujuan BCA 1234567890 (Budi QA)
3. Tap tombol Lanjut
4. Pada halaman konfirmasi, tap Konfirmasi
5. Input OTP 123456 sebelum 60 detik sejak OTP diterbitkan
6. Tap tombol Verifikasi/Submit
7. Periksa status transaksi, saldo, dan riwayat transaksi</t>
  </si>
  <si>
    <t>Transaction Validation</t>
  </si>
  <si>
    <t>WD-POS-01, WD-BVA-04, WD-BAL-01, WD-BAL-02, WD-BAL-03, WD-BAL-04, WD-BAL-05, WD-BAL-06, WD-BAL-07, WD-DUP-05, WD-DUP-06</t>
  </si>
  <si>
    <t>Nominal: 50000
Rekening: BCA 1234567890
OTP: 123456
Admin fee: Rp2.500</t>
  </si>
  <si>
    <t>1. Halaman konfirmasi: nominal Rp50.000, fee Rp2.500, total dipotong Rp52.500
2. OTP diterima dan transaksi diproses
3. Status akhir transaksi: Completed
4. Saldo menjadi Rp147.500 (terpotong satu kali)
5. Riwayat: Rp50.000, rekening BCA, status Completed</t>
  </si>
  <si>
    <t>A.5</t>
  </si>
  <si>
    <t>Nominal wajib diisi dan berupa bilangan bulat positif</t>
  </si>
  <si>
    <t>WD-POS-01, WD-NEG-01, WD-NEG-02, WD-NEG-03, WD-NEG-04, WD-NEG-05</t>
  </si>
  <si>
    <t>Not Executed</t>
  </si>
  <si>
    <t>A.6</t>
  </si>
  <si>
    <t>Nominal tidak valid ditolak dengan pesan validasi</t>
  </si>
  <si>
    <t>WD-POS-02</t>
  </si>
  <si>
    <t>Duplicate Prevention</t>
  </si>
  <si>
    <t>WD-NEG-01, WD-NEG-02, WD-NEG-03, WD-NEG-04, WD-NEG-05, WD-NEG-06, WD-NEG-07, WD-NEG-08, WD-BVA-02, WD-BVA-05, WD-BAL-02, WD-BAL-03, WD-BAL-05, WD-BAL-06, WD-BNK-02</t>
  </si>
  <si>
    <t>Withdraw Rupiah - Confirmation</t>
  </si>
  <si>
    <t>Halaman konfirmasi menampilkan seluruh informasi wajib dengan perhitungan benar</t>
  </si>
  <si>
    <t>B.1</t>
  </si>
  <si>
    <t>Bank Account</t>
  </si>
  <si>
    <t>1. Input nominal withdrawal 50000
2. Pilih rekening tujuan BCA 1234567890 (Budi QA)
3. Tap tombol Lanjut
4. Periksa seluruh informasi di halaman konfirmasi (jangan konfirmasi dulu)
5. Periksa saldo pada halaman utama/dompet</t>
  </si>
  <si>
    <t>Hanya ke rekening terdaftar dan terverifikasi</t>
  </si>
  <si>
    <t>Nominal: 50000
Rekening: BCA 1234567890</t>
  </si>
  <si>
    <t>WD-POS-01, WD-BNK-01, WD-BNK-03, WD-BNK-04, WD-BNK-06</t>
  </si>
  <si>
    <t>1. Tampil: Nominal Rp50.000
2. Tampil: Bank BCA, nomor rekening tersamarkan , pemilik Budi QA
3. Tampil: Biaya administrasi Rp2.500
4. Tampil: Total saldo dipotong Rp52.500
5. Saldo belum berubah (Rp200.000) sebelum OTP dan konfirmasi akhir</t>
  </si>
  <si>
    <t>B.2</t>
  </si>
  <si>
    <t>WD-POS-03</t>
  </si>
  <si>
    <t>Wajib memilih rekening tujuan</t>
  </si>
  <si>
    <t>WD-POS-01, WD-BNK-02, WD-BNK-03, WD-BNK-06</t>
  </si>
  <si>
    <t>Withdraw Rupiah - Cancel</t>
  </si>
  <si>
    <t>Kembali/batal dari halaman konfirmasi sebelum OTP tidak membuat transaksi dan tidak memotong saldo</t>
  </si>
  <si>
    <t>Medium</t>
  </si>
  <si>
    <t>B.3</t>
  </si>
  <si>
    <t>Total Test Case</t>
  </si>
  <si>
    <t>Konfirmasi menampilkan bank, nomor tersamarkan, nama pemilik</t>
  </si>
  <si>
    <t>WD-POS-01, WD-POS-02, WD-BNK-01, WD-BNK-06</t>
  </si>
  <si>
    <t>B.4</t>
  </si>
  <si>
    <t>Tidak dapat lanjut jika rekening tidak tersedia/tidak valid</t>
  </si>
  <si>
    <t>WD-BNK-03, WD-BNK-04, WD-BNK-05</t>
  </si>
  <si>
    <t>C.1</t>
  </si>
  <si>
    <t>Setiap withdrawal wajib verifikasi OTP</t>
  </si>
  <si>
    <t>WD-POS-01, WD-POS-03, WD-OTP-01, WD-OTP-03</t>
  </si>
  <si>
    <t>C.2</t>
  </si>
  <si>
    <t>OTP terdiri dari 6 digit angka</t>
  </si>
  <si>
    <t>WD-POS-01, WD-OTP-01, WD-OTP-04, WD-OTP-05, WD-OTP-06</t>
  </si>
  <si>
    <t>1. Input nominal withdrawal 50000
2. Pilih rekening tujuan BCA 1234567890 (Budi QA)
3. Tap tombol Lanjut
4. Pada halaman konfirmasi, tap Kembali/Batal
5. Buka riwayat transaksi dan periksa saldo</t>
  </si>
  <si>
    <t>1. Pengguna kembali ke form withdrawal 
2. Tidak ada transaksi baru di riwayat
3. Saldo tetap Rp200.000
4. Tidak ada OTP yang diproses/transaksi yang terbentuk</t>
  </si>
  <si>
    <t>C.3</t>
  </si>
  <si>
    <t>OTP berlaku 60 detik sejak diterbitkan</t>
  </si>
  <si>
    <t>WD-POS-01, WD-OTP-01, WD-OTP-07, WD-OTP-08, WD-OTP-09</t>
  </si>
  <si>
    <t>WD-NEG-01</t>
  </si>
  <si>
    <t>Withdraw Rupiah - Withdrawal Amount</t>
  </si>
  <si>
    <t>Nominal withdrawal dikosongkan ditolak</t>
  </si>
  <si>
    <t>C.4</t>
  </si>
  <si>
    <t>Negative</t>
  </si>
  <si>
    <t>OTP salah atau kedaluwarsa ditolak</t>
  </si>
  <si>
    <t>WD-OTP-02, WD-OTP-04, WD-OTP-05, WD-OTP-06, WD-OTP-07, WD-OTP-09, WD-OTP-10, WD-OTP-11, WD-OTP-12</t>
  </si>
  <si>
    <t>C.5</t>
  </si>
  <si>
    <t>OTP hanya dapat digunakan satu kali</t>
  </si>
  <si>
    <t>WD-OTP-10, WD-OTP-11, WD-DUP-02, WD-DUP-05</t>
  </si>
  <si>
    <t>C.6</t>
  </si>
  <si>
    <t>Transaksi tidak diproses jika verifikasi OTP gagal</t>
  </si>
  <si>
    <t>WD-OTP-02, WD-OTP-03, WD-OTP-04, WD-OTP-07, WD-OTP-12</t>
  </si>
  <si>
    <t>D</t>
  </si>
  <si>
    <t>1. Biarkan field nominal kosong
2. Pilih rekening tujuan BCA 1234567890
3. Tap tombol Lanjut</t>
  </si>
  <si>
    <t>Withdrawal Confirmation</t>
  </si>
  <si>
    <t>Nominal: (kosong)</t>
  </si>
  <si>
    <t>Konfirmasi menampilkan nominal, rekening tujuan, fee, total dipotong</t>
  </si>
  <si>
    <t>WD-POS-01, WD-POS-02, WD-BVA-01, WD-BVA-04, WD-BAL-01, WD-BAL-04, WD-TRX-01</t>
  </si>
  <si>
    <t>1. Sistem menolak dan menampilkan pesan validasi bahwa nominal wajib diisi 
2. Tidak lanjut ke halaman konfirmasi/OTP
3. Saldo tetap Rp200.000</t>
  </si>
  <si>
    <t>WD-NEG-02</t>
  </si>
  <si>
    <t>Nominal 0 ditolak (bukan bilangan bulat positif)</t>
  </si>
  <si>
    <t>E.1</t>
  </si>
  <si>
    <t>Transaction Status &amp; Balance</t>
  </si>
  <si>
    <t>Setelah OTP valid, transaksi diproses</t>
  </si>
  <si>
    <t>1. Input nominal withdrawal 0
2. Pilih rekening tujuan BCA 1234567890 (Budi QA)
3. Tap tombol Lanjut</t>
  </si>
  <si>
    <t>Nominal: 0</t>
  </si>
  <si>
    <t>WD-POS-01, WD-OTP-01, WD-TRX-01, WD-TRX-02</t>
  </si>
  <si>
    <t>1. Sistem menolak dan menampilkan pesan validasi
2. Tidak lanjut ke halaman konfirmasi/OTP
3. Saldo tetap Rp200.000</t>
  </si>
  <si>
    <t>WD-NEG-03</t>
  </si>
  <si>
    <t>Nominal negatif ditolak</t>
  </si>
  <si>
    <t>E.2</t>
  </si>
  <si>
    <t>Status transaksi: Pending / Completed / Failed</t>
  </si>
  <si>
    <t>1. Input nominal withdrawal -50000
2. Pilih rekening tujuan BCA 1234567890 (Budi QA)
3. Tap tombol Lanjut</t>
  </si>
  <si>
    <t>Nominal: -50000</t>
  </si>
  <si>
    <t>WD-POS-01, WD-TRX-01, WD-TRX-02, WD-TRX-03, WD-TRX-04, WD-TRX-06, WD-TRX-07</t>
  </si>
  <si>
    <t>1. Karakter '-' tidak dapat diinput ATAU nominal ditolak dengan pesan validasi
2. Tidak lanjut ke halaman konfirmasi/OTP
3. Saldo tetap Rp200.000</t>
  </si>
  <si>
    <t>WD-NEG-04</t>
  </si>
  <si>
    <t>E.3</t>
  </si>
  <si>
    <t>Nominal desimal ditolak</t>
  </si>
  <si>
    <t>Pending tidak boleh disubmit ulang sebagai transaksi baru (back/coba lagi)</t>
  </si>
  <si>
    <t>WD-TRX-04, WD-DUP-03, WD-DUP-04</t>
  </si>
  <si>
    <t>1. Input nominal withdrawal 50000.5 / 50000,75
2. Pilih rekening tujuan BCA 1234567890 (Budi QA)
3. Tap tombol Lanjut
4. Ulangi untuk setiap data uji</t>
  </si>
  <si>
    <t>Nominal: 50000.5
Nominal: 50000,75</t>
  </si>
  <si>
    <t>E.4</t>
  </si>
  <si>
    <t>1. Input desimal tidak diterima (separator dibatasi) ATAU ditolak dengan pesan validasi 
2. Tidak lanjut ke halaman konfirmasi/OTP
3. Saldo tetap Rp200.000</t>
  </si>
  <si>
    <t>Boundary</t>
  </si>
  <si>
    <t>Completed: saldo dipotong nominal + fee</t>
  </si>
  <si>
    <t>WD-POS-01, WD-BVA-01, WD-BVA-04, WD-BAL-01, WD-BAL-04, WD-BAL-07, WD-TRX-01, WD-TRX-04, WD-DUP-06</t>
  </si>
  <si>
    <t>WD-NEG-05</t>
  </si>
  <si>
    <t>Nominal non-numerik / karakter khusus / spasi ditolak</t>
  </si>
  <si>
    <t>E.5</t>
  </si>
  <si>
    <t>Failed: tidak ada kehilangan saldo; saldo tertahan dikembalikan</t>
  </si>
  <si>
    <t>WD-TRX-02, WD-TRX-03, WD-TRX-07</t>
  </si>
  <si>
    <t>1. Input nominal sesuai data uji satu per satu (ketik dan copy-paste)
2. Pilih rekening tujuan BCA 1234567890
3. Tap tombol Lanjut</t>
  </si>
  <si>
    <t>abc
5o000 (huruf 'o')
@#$%
'   ' (spasi saja)
50 000 (spasi di tengah)
050000 (leading zero)</t>
  </si>
  <si>
    <t>1. Karakter non-angka tidak dapat diinput ATAU nominal ditolak dengan pesan validasi
2. Aplikasi tidak crash/force close
3. Tidak lanjut ke halaman konfirmasi dengan nilai tidak valid
4. Saldo tetap Rp200.000</t>
  </si>
  <si>
    <t>E.6</t>
  </si>
  <si>
    <t>WD-NEG-06</t>
  </si>
  <si>
    <t>Transaksi yang sama tidak boleh memotong saldo lebih dari satu kali</t>
  </si>
  <si>
    <t>Nominal di bawah minimum (Rp5.000) ditolak</t>
  </si>
  <si>
    <t>WD-POS-03, WD-OTP-10, WD-TRX-04, WD-TRX-07, WD-DUP-01, WD-DUP-02, WD-DUP-03, WD-DUP-04, WD-DUP-05, WD-DUP-06</t>
  </si>
  <si>
    <t>1. Input nominal withdrawal 5000
2. Pilih rekening tujuan BCA 1234567890 (Budi QA)
3. Tap tombol Lanjut</t>
  </si>
  <si>
    <t>Nominal: 5000</t>
  </si>
  <si>
    <t>1. Sistem menolak dan menampilkan pesan validasi minimum withdrawal Rp10.000
2. Tidak lanjut ke halaman konfirmasi/OTP
3. Saldo tetap Rp200.000</t>
  </si>
  <si>
    <t>WD-NEG-07</t>
  </si>
  <si>
    <t>E.7</t>
  </si>
  <si>
    <t>Nominal di atas maksimum (Rp150.000) ditolak walaupun saldo mencukupi</t>
  </si>
  <si>
    <t>Riwayat menampilkan nominal, rekening tujuan, status, info transaksi</t>
  </si>
  <si>
    <t>WD-POS-01, WD-BNK-01, WD-BNK-06, WD-TRX-05, WD-TRX-06</t>
  </si>
  <si>
    <t>1. Input nominal withdrawal 150000
2. Pilih rekening tujuan BCA 1234567890 (Budi QA)
3. Tap tombol Lanjut</t>
  </si>
  <si>
    <t>Nominal: 150000
Saldo: Rp200.000 (cukup untuk 150.000 + 2.500)</t>
  </si>
  <si>
    <t>1. Sistem menolak dan menampilkan pesan validasi maksimum Rp100.000 per transaksi
2. Tidak lanjut ke halaman konfirmasi/OTP
3. Saldo tetap Rp200.000</t>
  </si>
  <si>
    <t>WD-NEG-08</t>
  </si>
  <si>
    <t>Nominal sangat besar (potensi overflow) ditolak tanpa crash</t>
  </si>
  <si>
    <t>Total requirement</t>
  </si>
  <si>
    <t>Low</t>
  </si>
  <si>
    <t>1. Input nominal withdrawal 99999999999999999999
2. Pilih rekening tujuan BCA 1234567890 (Budi QA)
3. Tap tombol Lanjut</t>
  </si>
  <si>
    <t>Nominal: 99999999999999999999</t>
  </si>
  <si>
    <t>1. Sistem menolak dengan pesan validasi (di atas maksimum)
2. Tidak terjadi overflow (nilai tidak berubah menjadi negatif/valid)
3. Aplikasi tidak crash; saldo tetap Rp200.000</t>
  </si>
  <si>
    <t>WD-BVA-01</t>
  </si>
  <si>
    <t>Nominal minimum Rp10.000 diterima dan diproses</t>
  </si>
  <si>
    <t>Covered</t>
  </si>
  <si>
    <t>1. Input nominal withdrawal 10000
2. Pilih rekening tujuan BCA 1234567890 (Budi QA)
3. Tap tombol Lanjut
4. Pada halaman konfirmasi, tap Konfirmasi
5. Input OTP 123456 sebelum 60 detik sejak OTP diterbitkan
6. Tap tombol Verifikasi/Submit
7. Periksa status dan saldo</t>
  </si>
  <si>
    <t>Nominal: 10000
OTP: 123456</t>
  </si>
  <si>
    <t>1. Nominal diterima; konfirmasi: total dipotong Rp12.500
2. Status Completed
3. Saldo menjadi Rp187.500</t>
  </si>
  <si>
    <t>WD-BVA-02</t>
  </si>
  <si>
    <t>Nominal Rp9.999 (minimum - 1) ditolak</t>
  </si>
  <si>
    <t>1. Input nominal withdrawal 9999
2. Pilih rekening tujuan BCA 1234567890 (Budi QA)
3. Tap tombol Lanjut</t>
  </si>
  <si>
    <t>Nominal: 9999</t>
  </si>
  <si>
    <t>1. Sistem menolak dan menampilkan pesan validasi minimum Rp10.000
2. Tidak lanjut ke halaman konfirmasi/OTP
3. Saldo tetap Rp200.000</t>
  </si>
  <si>
    <t>WD-BVA-03</t>
  </si>
  <si>
    <t>Nominal Rp10.001 (minimum + 1) diterima</t>
  </si>
  <si>
    <t>1. Input nominal withdrawal 10001
2. Pilih rekening tujuan BCA 1234567890 (Budi QA)
3. Tap tombol Lanjut
4. Periksa halaman konfirmasi (tidak perlu lanjut OTP)</t>
  </si>
  <si>
    <t xml:space="preserve">Nominal: 10001 </t>
  </si>
  <si>
    <t>1. Nominal diterima, lanjut ke halaman konfirmasi
2. Total dipotong tampil Rp12.501 (10.001 + 2.500)</t>
  </si>
  <si>
    <t>WD-BVA-04</t>
  </si>
  <si>
    <t>Nominal maksimum Rp100.000 diterima dan diproses</t>
  </si>
  <si>
    <t>1. Input nominal withdrawal 100000
2. Pilih rekening tujuan BCA 1234567890 (Budi QA)
3. Tap tombol Lanjut
4. Pada halaman konfirmasi, tap Konfirmasi
5. Input OTP 123456 sebelum 60 detik sejak OTP diterbitkan
6. Tap tombol Verifikasi/Submit
7. Periksa status dan saldo</t>
  </si>
  <si>
    <t>Nominal: 100000
OTP: 123456</t>
  </si>
  <si>
    <t>1. Nominal diterima; konfirmasi: total dipotong Rp102.500
2. Status Completed
3. Saldo menjadi Rp97.500</t>
  </si>
  <si>
    <t>WD-BVA-05</t>
  </si>
  <si>
    <t>Nominal Rp100.001 (maksimum + 1) ditolak</t>
  </si>
  <si>
    <t>1. Input nominal withdrawal 100001
2. Pilih rekening tujuan BCA 1234567890 (Budi QA)
3. Tap tombol Lanjut</t>
  </si>
  <si>
    <t>Nominal: 100001</t>
  </si>
  <si>
    <t>1. Sistem menolak dan menampilkan pesan validasi maksimum Rp100.000
2. Tidak lanjut ke halaman konfirmasi/OTP
3. Saldo tetap Rp200.000</t>
  </si>
  <si>
    <t>WD-BVA-06</t>
  </si>
  <si>
    <t>Nominal Rp99.999 (maksimum - 1) diterima</t>
  </si>
  <si>
    <t>1. Input nominal withdrawal 99999
2. Pilih rekening tujuan BCA 1234567890 (Budi QA)
3. Tap tombol Lanjut
4. Periksa halaman konfirmasi (tidak perlu lanjut OTP)</t>
  </si>
  <si>
    <t xml:space="preserve">Nominal: 99999 </t>
  </si>
  <si>
    <t>1. Nominal diterima, lanjut ke halaman konfirmasi
2. Total dipotong tampil Rp102.499 (99.999 + 2.500)
3. Saldo menjadi Rp97.501</t>
  </si>
  <si>
    <t>WD-BAL-01</t>
  </si>
  <si>
    <t>Withdraw Rupiah - Balance &amp; Admin Fee</t>
  </si>
  <si>
    <t>Perhitungan total pemotongan dan saldo akhir benar untuk beberapa nominal valid (data-driven)</t>
  </si>
  <si>
    <t>1. Untuk setiap baris data uji: reset saldo ke Rp200.000
2. Lakukan withdrawal sampai status Completed (form, konfirmasi, OTP 123456)
3. Catat total dipotong di konfirmasi dan saldo akhir</t>
  </si>
  <si>
    <t>Nominal -&gt; Total dipotong -&gt; Saldo akhir
10.000 -&gt; 12.500 -&gt; 187.500
50.000 -&gt; 52.500 -&gt; 147.500
75.500 -&gt; 78.000 -&gt; 122.000 
100.000 -&gt; 102.500 -&gt; 97.500</t>
  </si>
  <si>
    <t>1. Admin fee selalu Rp2.500 (tidak dipengaruhi nominal)
2. Total dipotong = nominal + Rp2.500
3. Saldo akhir = Rp200.000 - total dipotong, sesuai tabel data uji</t>
  </si>
  <si>
    <t>Saldo tidak mencukupi nominal ditolak</t>
  </si>
  <si>
    <t>1. User dummy_user (QA001) sudah login
2. Saldo Rp40.000
3. Rekening BCA 1234567890 a.n. Budi QA terdaftar &amp; terverifikasi
4. Berada di halaman Withdraw Rupiah</t>
  </si>
  <si>
    <t>1. Input nominal withdrawal 50000
2. Pilih rekening tujuan BCA 1234567890 (Budi QA)
3. Tap tombol Lanjut</t>
  </si>
  <si>
    <t>Saldo: Rp40.000
Nominal: 50000</t>
  </si>
  <si>
    <t>1. Sistem menolak dan menampilkan pesan saldo tidak cukup)
2. Tidak lanjut ke OTP; tidak ada transaksi terbentuk
3. Saldo tetap Rp40.000</t>
  </si>
  <si>
    <t>Saldo sama dengan nominal tetapi tidak cukup untuk fee ditolak</t>
  </si>
  <si>
    <t>1. User dummy_user (QA001) sudah login
2. Saldo Rp50.000
3. Rekening BCA 1234567890 a.n. Budi QA terdaftar &amp; terverifikasi
4. Berada di halaman Withdraw Rupiah</t>
  </si>
  <si>
    <t>Saldo: Rp50.000
Nominal: 50000
Kekurangan: Rp2.500 (fee)</t>
  </si>
  <si>
    <t>1. Sistem menolak karena saldo tidak mencukupi nominal + biaya administrasi
2. Tidak lanjut ke OTP; tidak ada transaksi terbentuk
3. Saldo tetap Rp50.000</t>
  </si>
  <si>
    <t>WD-BAL-04</t>
  </si>
  <si>
    <t>Saldo tepat sama dengan nominal + fee diterima dan saldo akhir Rp0</t>
  </si>
  <si>
    <t>1. User dummy_user (QA001) sudah login
2. Saldo Rp52.500
3. Rekening BCA 1234567890 a.n. Budi QA terdaftar &amp; terverifikasi
4. Berada di halaman Withdraw Rupiah</t>
  </si>
  <si>
    <t>1. Input nominal withdrawal 50000
2. Pilih rekening tujuan BCA 1234567890 (Budi QA)
3. Tap tombol Lanjut
4. Pada halaman konfirmasi, tap Konfirmasi
5. Input OTP 123456 sebelum 60 detik sejak OTP diterbitkan
6. Tap tombol Verifikasi/Submit
7. Periksa status dan saldo</t>
  </si>
  <si>
    <t>Saldo: Rp52.500
Nominal: 50000
OTP: 123456</t>
  </si>
  <si>
    <t>1. Transaksi diterima dan diproses
2. Status Completed
3. Saldo akhir Rp0 (tidak negatif)</t>
  </si>
  <si>
    <t>Saldo Rp52.499 (kurang Rp1 dari nominal + fee) ditolak</t>
  </si>
  <si>
    <t>1. User dummy_user (QA001) sudah login
2. Saldo Rp52.499
3. Rekening BCA 1234567890 a.n. Budi QA terdaftar &amp; terverifikasi
4. Berada di halaman Withdraw Rupiah</t>
  </si>
  <si>
    <t>Saldo: Rp52.499
Nominal: 50000</t>
  </si>
  <si>
    <t>1. Sistem menolak dan menampilkan pesan saldo tidak cukup
2. Tidak lanjut ke OTP; tidak ada transaksi terbentuk
3. Saldo tetap Rp52.499</t>
  </si>
  <si>
    <t>Saldo di bawah minimum withdrawal (Rp5.000) tidak dapat melakukan withdrawal</t>
  </si>
  <si>
    <t>1. User dummy_user (QA001) sudah login
2. Saldo Rp5.000
3. Rekening BCA 1234567890 a.n. Budi QA terdaftar &amp; terverifikasi
4. Berada di halaman Withdraw Rupiah</t>
  </si>
  <si>
    <t>1. Input nominal withdrawal 10000
2. Pilih rekening tujuan BCA 1234567890 (Budi QA)
3. Tap tombol Lanjut</t>
  </si>
  <si>
    <t>Saldo: Rp5.000
Nominal: 10000</t>
  </si>
  <si>
    <t>1. Sistem menolak karena saldo tidak mencukupi
2. Tidak ada transaksi terbentuk
3. Saldo tetap Rp5.000</t>
  </si>
  <si>
    <t>WD-BAL-07</t>
  </si>
  <si>
    <t>Withdrawal kedua ditolak ketika sisa saldo setelah withdrawal pertama tidak cukup</t>
  </si>
  <si>
    <t>1. Lakukan withdrawal Rp100.000 sampai Completed (saldo menjadi Rp97.500)
2. Mulai withdrawal baru, input nominal 100000, pilih rekening BCA, tap Lanjut</t>
  </si>
  <si>
    <t xml:space="preserve">Withdrawal 1: 100000 (OTP 123456)
Withdrawal 2: 100000
Saldo sebelum W2: Rp97.500 (&lt; Rp102.500)
</t>
  </si>
  <si>
    <t>1. Withdrawal pertama Completed; saldo Rp97.500
2. Withdrawal kedua ditolak: saldo tidak mencukupi nominal + fee Rp102.500
3. Saldo tetap Rp97.500; hanya 1 transaksi di riwayat</t>
  </si>
  <si>
    <t>WD-BNK-01</t>
  </si>
  <si>
    <t>Withdraw Rupiah - Bank Account</t>
  </si>
  <si>
    <t>Informasi rekening tujuan ditampilkan dengan nomor tersamarkan</t>
  </si>
  <si>
    <t>1. Input nominal withdrawal 50000
2. Pilih rekening tujuan BCA 1234567890 (Budi QA)
3. Tap tombol Lanjut
4. Periksa bagian rekening tujuan di halaman konfirmasi
5. Selesaikan transaksi (OTP 123456) lalu periksa detail di riwayat</t>
  </si>
  <si>
    <t>Rekening: BCA 1234567890 a.n. Budi QA</t>
  </si>
  <si>
    <t>1. Tampil nama bank BCA dan nama pemilik Budi QA
2. Nomor rekening tersamarkan (tidak tampil utuh 1234567890)
3. Informasi rekening konsisten di konfirmasi dan riwayat</t>
  </si>
  <si>
    <t>WD-BNK-02</t>
  </si>
  <si>
    <t>Lanjut tanpa memilih rekening tujuan ditolak</t>
  </si>
  <si>
    <t>1. Input nominal 50000
2. Jangan pilih rekening tujuan
3. Tap tombol Lanjut</t>
  </si>
  <si>
    <t>Nominal: 50000
Rekening: (tidak dipilih)</t>
  </si>
  <si>
    <t>1. Sistem menolak dan menampilkan pesan wajib memilih rekening tujuan
2. Tidak lanjut ke halaman konfirmasi/OTP
3. Saldo tetap Rp200.000</t>
  </si>
  <si>
    <t>User tanpa rekening terdaftar tidak dapat melanjutkan withdrawal</t>
  </si>
  <si>
    <t>1. User dummy_user (QA001) sudah login
2. Saldo Rp200.000
3. Berada di halaman Withdraw Rupiah
4. User tidak memiliki rekening bank terdaftar</t>
  </si>
  <si>
    <t>1. Input nominal 50000
2. Periksa daftar rekening tujuan
3. Tap tombol Lanjut</t>
  </si>
  <si>
    <t>Nominal: 50000
Rekening terdaftar: tidak ada</t>
  </si>
  <si>
    <t>1. Tidak ada rekening yang dapat dipilih (tampil keterangan/arahan menambah rekening)
2. Transaksi tidak dapat dilanjutkan
3. Tidak ada transaksi terbentuk; saldo tetap Rp200.000</t>
  </si>
  <si>
    <t>Rekening terdaftar tetapi belum terverifikasi tidak dapat digunakan</t>
  </si>
  <si>
    <t>1. User dummy_user (QA001) sudah login
2. Saldo Rp200.000
3. Berada di halaman Withdraw Rupiah
4. Terdapat rekening terdaftar dengan status belum terverifikasi</t>
  </si>
  <si>
    <t>1. Input nominal 50000
2. Coba pilih rekening yang belum terverifikasi
3. Tap tombol Lanjut</t>
  </si>
  <si>
    <t>Nominal: 50000
Rekening: status belum terverifikasi</t>
  </si>
  <si>
    <t>1. Rekening tidak dapat dipilih ATAU transaksi ditolak dengan pesan yang sesuai
2. Tidak lanjut ke OTP; tidak ada transaksi terbentuk
3. Saldo tetap Rp200.000</t>
  </si>
  <si>
    <t>WD-BNK-05</t>
  </si>
  <si>
    <t>Rekening tujuan menjadi tidak tersedia/tidak valid setelah dipilih</t>
  </si>
  <si>
    <t>1. User dummy_user (QA001) sudah login
2. Saldo Rp200.000
3. Rekening BCA 1234567890 a.n. Budi QA terdaftar &amp; terverifikasi
4. Berada di halaman Withdraw Rupiah
5. Tersedia cara menonaktifkan/menghapus rekening saat sesi berjalan (back office/sesi lain)</t>
  </si>
  <si>
    <t>1. Input nominal withdrawal 50000
2. Pilih rekening tujuan BCA 1234567890 (Budi QA)
3. Tap tombol Lanjut
4. Pada halaman konfirmasi, nonaktifkan/hapus rekening BCA dari sesi/back office lain
5. Kembali ke aplikasi, tap Konfirmasi</t>
  </si>
  <si>
    <t>Nominal: 50000
Rekening: BCA 1234567890 (dinonaktifkan di tengah transaksi)</t>
  </si>
  <si>
    <t>1. Transaksi tidak dapat dilanjutkan dan pesan sesuai ditampilkan
2. Tidak ada OTP/transaksi yang diproses
3. Saldo tetap Rp200.000</t>
  </si>
  <si>
    <t>Memilih rekening kedua: konfirmasi dan riwayat menampilkan rekening yang dipilih</t>
  </si>
  <si>
    <t>1. User dummy_user (QA001) sudah login
2. Saldo Rp200.000
3. Rekening BCA 1234567890 a.n. Budi QA terdaftar &amp; terverifikasi
4. Berada di halaman Withdraw Rupiah
5. Terdapat rekening kedua terverifikasi: Mandiri 0987654321 a.n. Siti QA (data tambahan,)</t>
  </si>
  <si>
    <t>1. Input nominal 50000
2. Pilih rekening Mandiri 0987654321 (Siti QA)
3. Tap Lanjut dan periksa konfirmasi
4. Selesaikan transaksi (konfirmasi, OTP 123456)
5. Periksa riwayat transaksi</t>
  </si>
  <si>
    <t>Nominal: 50000
Rekening: Mandiri 0987654321 a.n. Siti QA</t>
  </si>
  <si>
    <t>1. Konfirmasi menampilkan Mandiri, nomor tersamarkan, Siti QA (bukan BCA)
2. Transaksi Completed ke rekening Mandiri
3. Riwayat menampilkan rekening tujuan Mandiri</t>
  </si>
  <si>
    <t>WD-OTP-01</t>
  </si>
  <si>
    <t>Withdraw Rupiah - OTP Verification</t>
  </si>
  <si>
    <t>OTP valid dalam masa berlaku diterima</t>
  </si>
  <si>
    <t>1. Input nominal withdrawal 50000
2. Pilih rekening tujuan BCA 1234567890 (Budi QA)
3. Tap tombol Lanjut
4. Tap Konfirmasi dan periksa OTP yang diterbitkan
5. Pada detik ke-30, input OTP 123456
6. Tap tombol Verifikasi/Submit</t>
  </si>
  <si>
    <t>OTP: 123456 (6 digit)
Waktu input: +30 detik</t>
  </si>
  <si>
    <t>1. OTP diterbitkan berupa 6 digit angka
2. OTP 123456 diterima
3. Transaksi diproses (status Pending/Completed)</t>
  </si>
  <si>
    <t>WD-OTP-02</t>
  </si>
  <si>
    <t>OTP salah ditolak dan transaksi tidak diproses</t>
  </si>
  <si>
    <t>1. Input nominal withdrawal 50000
2. Pilih rekening tujuan BCA 1234567890 (Budi QA)
3. Tap tombol Lanjut
4. Tap Konfirmasi
5. Input OTP salah 654321 (dalam 60 detik)
6. Tap Verifikasi/Submit
7. Periksa saldo dan riwayat transaksi</t>
  </si>
  <si>
    <t>OTP: 654321</t>
  </si>
  <si>
    <t xml:space="preserve">1. OTP ditolak dengan pesan OTP salah
2. Transaksi tidak diproses
3. Saldo tetap Rp200.000
4. Tidak ada transaksi Completed di riwayat </t>
  </si>
  <si>
    <t>WD-OTP-03</t>
  </si>
  <si>
    <t>OTP dikosongkan tidak dapat diverifikasi</t>
  </si>
  <si>
    <t>1. Input nominal withdrawal 50000
2. Pilih rekening tujuan BCA 1234567890 (Budi QA)
3. Tap tombol Lanjut
4. Tap Konfirmasi
5. Biarkan field OTP kosong
6. Tap Verifikasi/Submit</t>
  </si>
  <si>
    <t>OTP: (kosong)</t>
  </si>
  <si>
    <t>1. Verifikasi ditolak (tombol nonaktif atau pesan validasi)
2. Transaksi tidak diproses
3. Saldo tetap Rp200.000</t>
  </si>
  <si>
    <t>WD-OTP-04</t>
  </si>
  <si>
    <t>OTP kurang dari 6 digit ditolak</t>
  </si>
  <si>
    <t>1. Input nominal withdrawal 50000
2. Pilih rekening tujuan BCA 1234567890 (Budi QA)
3. Tap tombol Lanjut
4. Tap Konfirmasi
5. Input OTP 12345 (5 digit)
6. Tap Verifikasi/Submit</t>
  </si>
  <si>
    <t>OTP: 12345</t>
  </si>
  <si>
    <t>1. OTP ditolak (tombol nonaktif atau pesan OTP tidak valid)
2. Transaksi tidak diproses
3. Saldo tetap Rp200.000</t>
  </si>
  <si>
    <t>WD-OTP-05</t>
  </si>
  <si>
    <t>OTP lebih dari 6 digit tidak diterima</t>
  </si>
  <si>
    <t>1. Input nominal withdrawal 50000
2. Pilih rekening tujuan BCA 1234567890 (Budi QA)
3. Tap tombol Lanjut
4. Tap Konfirmasi
5. Ketik/paste OTP 7 digit
6. Tap Verifikasi/Submit</t>
  </si>
  <si>
    <t>OTP: 6543217 (7 digit)</t>
  </si>
  <si>
    <t>1. Field membatasi maksimal 6 digit ATAU OTP ditolak
2. Hanya nilai 6 digit yang tampil di field yang diverifikasi (nilai salah tetap ditolak)
3. Transaksi tidak diproses; saldo tetap Rp200.000</t>
  </si>
  <si>
    <t>WD-OTP-06</t>
  </si>
  <si>
    <t>OTP non-numerik tidak diterima</t>
  </si>
  <si>
    <t>1. Input nominal withdrawal 50000
2. Pilih rekening tujuan BCA 1234567890 (Budi QA)
3. Tap tombol Lanjut
4. Tap Konfirmasi
5. Input OTP sesuai data uji (ketik dan paste)
6. Tap Verifikasi/Submit</t>
  </si>
  <si>
    <t>12ab56
abcdef
12 456 (spasi)
!@#$%^</t>
  </si>
  <si>
    <t>1. Karakter non-angka tidak dapat diinput ATAU OTP ditolak
2. Transaksi tidak diproses; saldo tetap Rp200.000
3. Aplikasi tidak crash</t>
  </si>
  <si>
    <t>WD-OTP-07</t>
  </si>
  <si>
    <t>OTP kedaluwarsa (61 detik) ditolak</t>
  </si>
  <si>
    <t>1. Input nominal withdrawal 50000
2. Pilih rekening tujuan BCA 1234567890 (Budi QA)
3. Tap tombol Lanjut
4. Tap Konfirmasi dan catat waktu OTP diterbitkan
5. Tunggu 61 detik (gunakan timer)
6. Input OTP 123456
7. Tap Verifikasi/Submit</t>
  </si>
  <si>
    <t>OTP: 123456
Waktu input: +61 detik</t>
  </si>
  <si>
    <t>1. OTP ditolak dengan pesan OTP kedaluwarsa
2. Transaksi tidak diproses
3. Saldo tetap Rp200.000</t>
  </si>
  <si>
    <t>WD-OTP-08</t>
  </si>
  <si>
    <t>OTP pada detik ke-59 masih valid</t>
  </si>
  <si>
    <t>1. Input nominal withdrawal 50000
2. Pilih rekening tujuan BCA 1234567890 (Budi QA)
3. Tap tombol Lanjut
4. Tap Konfirmasi dan catat waktu OTP diterbitkan
5. Input OTP 123456 pada detik ke-59 (gunakan timer/waktu test env)
6. Tap Verifikasi/Submit</t>
  </si>
  <si>
    <t>OTP: 123456
Waktu input: +59 detik</t>
  </si>
  <si>
    <t>1. OTP diterima
2. Transaksi diproses (status Pending/Completed)</t>
  </si>
  <si>
    <t>WD-OTP-09</t>
  </si>
  <si>
    <t>OTP tepat pada detik ke-60 (batas kedaluwarsa)</t>
  </si>
  <si>
    <t>1. Input nominal withdrawal 50000
2. Pilih rekening tujuan BCA 1234567890 (Budi QA)
3. Tap tombol Lanjut
4. Tap Konfirmasi dan catat waktu OTP diterbitkan
5. Input OTP 123456 tepat pada detik ke-60 (gunakan pengaturan waktu test env)
6. Tap Verifikasi/Submit</t>
  </si>
  <si>
    <t>OTP: 123456
Waktu input: +60 detik</t>
  </si>
  <si>
    <t>1. OTP valid hanya &lt; 60 detik, sehingga pada detik ke-60 OTP ditolak sebagai kedaluwarsa
2. Transaksi tidak diproses; saldo tetap Rp200.000</t>
  </si>
  <si>
    <t>WD-OTP-10</t>
  </si>
  <si>
    <t>OTP yang sudah digunakan tidak dapat dipakai ulang pada transaksi yang sama (replay)</t>
  </si>
  <si>
    <t>1. Input nominal withdrawal 50000
2. Pilih rekening tujuan BCA 1234567890 (Budi QA)
3. Tap tombol Lanjut
4. Pada halaman konfirmasi, tap Konfirmasi
5. Input OTP 123456 sebelum 60 detik sejak OTP diterbitkan
6. Tap tombol Verifikasi/Submit
7. Setelah transaksi diproses, kembali ke layar OTP (Back/replay request) lalu submit OTP 123456 yang sama
8. Periksa saldo dan riwayat</t>
  </si>
  <si>
    <t>OTP: 123456 (sudah terpakai)</t>
  </si>
  <si>
    <t>1. Submit kedua ditolak (OTP sudah digunakan)
2. Tidak ada transaksi/pemotongan tambahan
3. Saldo akhir Rp147.500; hanya 1 transaksi di riwayat</t>
  </si>
  <si>
    <t>WD-OTP-11</t>
  </si>
  <si>
    <t>OTP dari transaksi sebelumnya ditolak pada transaksi baru</t>
  </si>
  <si>
    <t>1. Lakukan withdrawal 50000 sampai Completed dengan OTP 123456
2. Mulai transaksi baru 50000 sampai layar OTP
3. Input OTP lama 123456 sebelum OTP baru diterbitkan/diterima
4. Tap Verifikasi/Submit</t>
  </si>
  <si>
    <t>OTP lama: 123456 (terpakai di transaksi sebelumnya)</t>
  </si>
  <si>
    <t>1. OTP lama ditolak untuk transaksi baru
2. Transaksi baru tidak diproses
3. Saldo tetap Rp147.500</t>
  </si>
  <si>
    <t>WD-OTP-12</t>
  </si>
  <si>
    <t>OTP salah berulang kali tidak pernah memproses transaksi</t>
  </si>
  <si>
    <t>1. Input nominal withdrawal 50000
2. Pilih rekening tujuan BCA 1234567890 (Budi QA)
3. Tap tombol Lanjut
4. Tap Konfirmasi
5. Input OTP salah 111111 lalu submit; ulangi 3 kali
6. Input OTP benar 123456 (dalam 60 detik) lalu submit
7. Periksa saldo dan riwayat</t>
  </si>
  <si>
    <t>OTP salah: 111111 (3x)
OTP benar: 123456</t>
  </si>
  <si>
    <t>1. Setiap OTP salah ditolak; transaksi tidak diproses dan saldo tidak berubah
2. Perilaku setelah batas percobaan (lock/blokir/resend)
3. Jika masih diizinkan, OTP benar diproses; tidak pernah terjadi pemotongan ganda</t>
  </si>
  <si>
    <t>WD-TRX-01</t>
  </si>
  <si>
    <t>Withdraw Rupiah - Transaction Status</t>
  </si>
  <si>
    <t>Status Completed: saldo terpotong tepat nominal + fee dan status ditampilkan benar</t>
  </si>
  <si>
    <t>1. Input nominal withdrawal 75000
2. Pilih rekening tujuan BCA 1234567890 (Budi QA)
3. Tap tombol Lanjut
4. Pada halaman konfirmasi, tap Konfirmasi
5. Input OTP 123456 sebelum 60 detik sejak OTP diterbitkan
6. Tap tombol Verifikasi/Submit
7. Periksa halaman status transaksi
8. Periksa saldo di dompet dan riwayat</t>
  </si>
  <si>
    <t>Nominal: 75000
Total dipotong: Rp77.500
Saldo awal: Rp200.000</t>
  </si>
  <si>
    <t>1. Status transaksi Completed
2. Saldo menjadi Rp122.500 (200.000 - 77.500)
3. Pemotongan hanya satu kali
4. Riwayat menampilkan Rp75.000, status Completed</t>
  </si>
  <si>
    <t>WD-TRX-02</t>
  </si>
  <si>
    <t>Status Failed (kegagalan pemrosesan setelah OTP valid) tidak menyebabkan kehilangan saldo</t>
  </si>
  <si>
    <t xml:space="preserve">1. User dummy_user (QA001) sudah login
2. Saldo Rp200.000
3. Rekening BCA 1234567890 a.n. Budi QA terdaftar &amp; terverifikasi
4. Berada di halaman Withdraw Rupiah
5. Test env dapat mensimulasikan kegagalan pemrosesan, mis. bank/gateway error </t>
  </si>
  <si>
    <t>1. Input nominal withdrawal 50000
2. Pilih rekening tujuan BCA 1234567890 (Budi QA)
3. Tap tombol Lanjut
4. Pada halaman konfirmasi, tap Konfirmasi
5. Input OTP 123456 sebelum 60 detik sejak OTP diterbitkan
6. Tap tombol Verifikasi/Submit
7. Tunggu hingga status final
8. Periksa status, saldo, dan riwayat</t>
  </si>
  <si>
    <t>Nominal: 50000
OTP: 123456
Simulasi: pemrosesan gagal</t>
  </si>
  <si>
    <t>1. Status transaksi Failed
2. Saldo tetap Rp200.000 (nominal dan fee tidak terpotong)
3. Riwayat menampilkan transaksi dengan status Failed
4. Tidak ada pemotongan parsial</t>
  </si>
  <si>
    <t>WD-TRX-03</t>
  </si>
  <si>
    <t>Failed setelah saldo ditahan: saldo tertahan dikembalikan penuh</t>
  </si>
  <si>
    <t xml:space="preserve">1. User dummy_user (QA001) sudah login
2. Saldo Rp200.000
3. Rekening BCA 1234567890 a.n. Budi QA terdaftar &amp; terverifikasi
4. Berada di halaman Withdraw Rupiah
5. Test env dapat menahan transaksi di Pending lalu mensimulasikan Failed </t>
  </si>
  <si>
    <t>1. Input nominal withdrawal 50000
2. Pilih rekening tujuan BCA 1234567890 (Budi QA)
3. Tap tombol Lanjut
4. Pada halaman konfirmasi, tap Konfirmasi
5. Input OTP 123456 sebelum 60 detik sejak OTP diterbitkan
6. Tap tombol Verifikasi/Submit
7. Saat status Pending, catat saldo tersedia dan saldo tertahan
8. Picu kegagalan pemrosesan
9. Periksa saldo setelah status menjadi Failed</t>
  </si>
  <si>
    <t>Nominal: 50000
Total ditahan (asumsi): Rp52.500</t>
  </si>
  <si>
    <t>1. Saat Pending saldo tertahan sesuai total 
2. Setelah Failed, saldo tertahan dikembalikan penuh: saldo Rp200.000
3. Tidak ada hold tersisa; status Failed di riwayat</t>
  </si>
  <si>
    <t>WD-TRX-04</t>
  </si>
  <si>
    <t>Transisi Pending ke Completed: saldo dipotong hanya satu kali</t>
  </si>
  <si>
    <t xml:space="preserve">1. User dummy_user (QA001) sudah login
2. Saldo Rp200.000
3. Rekening BCA 1234567890 a.n. Budi QA terdaftar &amp; terverifikasi
4. Berada di halaman Withdraw Rupiah
5. Test env dapat menahan transaksi di Pending lalu menyelesaikannya </t>
  </si>
  <si>
    <t>1. Input nominal withdrawal 50000
2. Pilih rekening tujuan BCA 1234567890 (Budi QA)
3. Tap tombol Lanjut
4. Pada halaman konfirmasi, tap Konfirmasi
5. Input OTP 123456 sebelum 60 detik sejak OTP diterbitkan
6. Tap tombol Verifikasi/Submit
7. Saat status Pending, periksa tampilan status dan saldo
8. Tunggu hingga transaksi diselesaikan
9. Periksa status akhir, saldo, dan riwayat</t>
  </si>
  <si>
    <t>Nominal: 50000
Status awal: Pending
Status akhir: Completed</t>
  </si>
  <si>
    <t>1. Status Pending ditampilkan selama diproses
2. Setelah selesai, status berubah menjadi Completed
3. Saldo akhir Rp147.500 (tahan lalu finalisasi, tidak terpotong dua kali)
4. Riwayat menampilkan status terbaru (Completed)</t>
  </si>
  <si>
    <t>WD-TRX-05</t>
  </si>
  <si>
    <t>Withdraw Rupiah - Transaction History</t>
  </si>
  <si>
    <t>Riwayat transaksi Completed menampilkan informasi lengkap</t>
  </si>
  <si>
    <t>1. Input nominal withdrawal 50000
2. Pilih rekening tujuan BCA 1234567890 (Budi QA)
3. Tap tombol Lanjut
4. Pada halaman konfirmasi, tap Konfirmasi
5. Input OTP 123456 sebelum 60 detik sejak OTP diterbitkan
6. Tap tombol Verifikasi/Submit
7. Buka menu riwayat transaksi
8. Buka detail transaksi terbaru</t>
  </si>
  <si>
    <t>Nominal: 50000
Rekening: BCA 1234567890 a.n. Budi QA</t>
  </si>
  <si>
    <t>1. Item terbaru muncul di riwayat (urutan terbaru di atas)
2. Menampilkan nominal Rp50.000, rekening tujuan BCA (tersamarkan), dan status Completed
3. Informasi lain yang sesuai tampil benar, mis. tanggal/waktu, ID transaksi, fee</t>
  </si>
  <si>
    <t>WD-TRX-06</t>
  </si>
  <si>
    <t>Riwayat menampilkan transaksi Pending dan Failed dengan status yang sesuai</t>
  </si>
  <si>
    <t>1. User dummy_user (QA001) sudah login
2. Saldo Rp200.000
3. Rekening BCA 1234567890 a.n. Budi QA terdaftar &amp; terverifikasi
4. Berada di halaman Withdraw Rupiah
5. Test env dapat membuat transaksi Pending dan Failed</t>
  </si>
  <si>
    <t>1. Buat satu transaksi Pending (belum selesai) dan satu transaksi Failed
2. Buka menu riwayat transaksi
3. Buka detail masing-masing transaksi</t>
  </si>
  <si>
    <t>Transaksi A: 50000 (Pending)
Transaksi B: 50000 (Failed)</t>
  </si>
  <si>
    <t>1. Transaksi A tampil dengan status Pending, transaksi B dengan status Failed
2. Keduanya menampilkan nominal, rekening tujuan, dan informasi transaksi
3. Status yang tampil sama dengan status aktual dan konsisten dengan saldo</t>
  </si>
  <si>
    <t>WD-TRX-07</t>
  </si>
  <si>
    <t>Koneksi terputus setelah submit OTP: status dan saldo tetap konsisten</t>
  </si>
  <si>
    <t>1. Input nominal withdrawal 50000
2. Pilih rekening tujuan BCA 1234567890 (Budi QA)
3. Tap tombol Lanjut
4. Tap Konfirmasi dan input OTP 123456
5. Tap Submit, lalu segera aktifkan mode pesawat/putuskan koneksi
6. Nyalakan kembali koneksi, buka riwayat dan periksa saldo</t>
  </si>
  <si>
    <t>Nominal: 50000
OTP: 123456
Gangguan: koneksi terputus saat submit</t>
  </si>
  <si>
    <t>1. Transaksi berakhir pada status valid (Pending/Completed/Failed) dan tidak hilang
2. Saldo sesuai status: Rp147.500 bila Completed/Pending (ditahan), Rp200.000 bila Failed
3. Tidak ada kehilangan saldo tanpa transaksi dan tidak ada debit ganda</t>
  </si>
  <si>
    <t>WD-DUP-01</t>
  </si>
  <si>
    <t>Withdraw Rupiah - Duplicate Prevention</t>
  </si>
  <si>
    <t>Double tap pada tombol Konfirmasi hanya membuat satu transaksi</t>
  </si>
  <si>
    <t>1. Input nominal withdrawal 50000
2. Pilih rekening tujuan BCA 1234567890 (Budi QA)
3. Tap tombol Lanjut
4. Pada halaman konfirmasi, tap tombol Konfirmasi 2-3 kali dengan cepat
5. Input OTP 123456 lalu submit
6. Periksa riwayat dan saldo</t>
  </si>
  <si>
    <t>Nominal: 50000
Tap: 3x dalam &lt; 1 detik</t>
  </si>
  <si>
    <t>1. Tombol nonaktif/loading setelah tap pertama
2. Hanya satu proses OTP dan satu transaksi terbentuk
3. Saldo akhir Rp147.500 (dipotong sekali)</t>
  </si>
  <si>
    <t>WD-DUP-02</t>
  </si>
  <si>
    <t>Double tap pada tombol Submit OTP hanya memproses satu transaksi</t>
  </si>
  <si>
    <t>1. Input nominal withdrawal 50000
2. Pilih rekening tujuan BCA 1234567890 (Budi QA)
3. Tap tombol Lanjut
4. Tap Konfirmasi dan input OTP 123456
5. Tap tombol Submit 2-3 kali dengan cepat
6. Periksa riwayat dan saldo</t>
  </si>
  <si>
    <t>Nominal: 50000
OTP: 123456
Tap: 3x dalam &lt; 1 detik</t>
  </si>
  <si>
    <t>1. Hanya satu transaksi terbentuk dan terproses
2. Request berikutnya diabaikan/ditolak tanpa efek samping
3. Saldo akhir Rp147.500; riwayat berisi 1 transaksi</t>
  </si>
  <si>
    <t>WD-DUP-03</t>
  </si>
  <si>
    <t>Back atau Coba lagi saat status Pending tidak membuat transaksi baru</t>
  </si>
  <si>
    <t xml:space="preserve">1. User dummy_user (QA001) sudah login
2. Saldo Rp200.000
3. Rekening BCA 1234567890 a.n. Budi QA terdaftar &amp; terverifikasi
4. Berada di halaman Withdraw Rupiah
5. Transaksi 50000 sedang berstatus Pending </t>
  </si>
  <si>
    <t>1. Pada layar status Pending, tekan tombol Back (hardware/UI)
2. Tap Coba lagi/ulangi jika tersedia, atau buka kembali layar status
3. Periksa riwayat dan saldo</t>
  </si>
  <si>
    <t>Transaksi: 50000 (Pending)</t>
  </si>
  <si>
    <t>1. Tidak ada request withdrawal baru yang dikirim
2. Tampil transaksi Pending yang sama atau pengajuan baru diblokir dengan pesan
3. Riwayat tetap 1 transaksi; saldo tidak dipotong lebih dari satu kali</t>
  </si>
  <si>
    <t>WD-DUP-04</t>
  </si>
  <si>
    <t>Retry setelah timeout tidak menyebabkan debit ganda</t>
  </si>
  <si>
    <t>1. User dummy_user (QA001) sudah login
2. Saldo Rp200.000
3. Rekening BCA 1234567890 a.n. Budi QA terdaftar &amp; terverifikasi
4. Berada di halaman Withdraw Rupiah
5. Koneksi dapat dibatasi (throttle) untuk mensimulasikan timeout</t>
  </si>
  <si>
    <t>1. Input nominal withdrawal 50000
2. Pilih rekening tujuan BCA 1234567890 (Budi QA)
3. Tap tombol Lanjut
4. Tap Konfirmasi dan input OTP 123456
5. Tap Submit saat koneksi dibatasi hingga timeout
6. Pulihkan koneksi, lalu tap Coba lagi/ulangi submit
7. Periksa riwayat dan saldo</t>
  </si>
  <si>
    <t>Nominal: 50000
OTP: 123456
Gangguan: timeout lalu retry</t>
  </si>
  <si>
    <t>1. Retry tidak membuat transaksi kedua (idempotent)
2. Riwayat berisi maksimal 1 transaksi
3. Saldo dipotong paling banyak satu kali (Rp147.500)</t>
  </si>
  <si>
    <t>WD-DUP-05</t>
  </si>
  <si>
    <t>Submit bersamaan dari dua perangkat tidak menyebabkan debit ganda atau saldo negatif</t>
  </si>
  <si>
    <t>1. User dummy_user (QA001) sudah login
2. Saldo Rp52.500
3. Rekening BCA 1234567890 a.n. Budi QA terdaftar &amp; terverifikasi
4. Berada di halaman Withdraw Rupiah
5. Akun QA001 login di dua perangkat/sesi (A dan B)
6. Kedua sesi sudah berada di layar OTP untuk transaksi 50000</t>
  </si>
  <si>
    <t>1. Input OTP 123456 di sesi A dan sesi B
2. Tap Submit di kedua perangkat pada waktu yang bersamaan
3. Periksa saldo dan riwayat dari kedua sesi</t>
  </si>
  <si>
    <t>Saldo: Rp52.500 (hanya cukup untuk 1 transaksi)
Nominal: 50000 di kedua sesi
OTP: 123456</t>
  </si>
  <si>
    <t>1. Maksimal satu transaksi berhasil diproses
2. Transaksi lainnya ditolak (saldo tidak cukup/OTP sudah digunakan)
3. Saldo akhir Rp0, tidak pernah negatif; tidak ada debit ganda</t>
  </si>
  <si>
    <t>WD-DUP-06</t>
  </si>
  <si>
    <t>Dua withdrawal terpisah dengan nominal dan rekening sama diproses sebagai dua transaksi berbeda</t>
  </si>
  <si>
    <t>1. Lakukan withdrawal 50000 ke BCA sampai Completed (OTP 123456)
2. Mulai transaksi baru 50000 ke BCA, selesaikan dengan OTP baru yang valid
3. Periksa riwayat dan saldo</t>
  </si>
  <si>
    <t xml:space="preserve">Transaksi 1: 50000 (BCA)
Transaksi 2: 50000 (BCA)
</t>
  </si>
  <si>
    <t>1. Dua transaksi terpisah (ID berbeda) tidak diblokir sebagai duplikat
2. Saldo akhir Rp95.000 (200.000 - 52.500 x 2)
3. Riwayat berisi 2 transaksi Completed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</si>
</sst>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Arial"/>
    </font>
    <font>
      <b/>
      <sz val="10.0"/>
      <color rgb="FFFFFFFF"/>
      <name val="Arial"/>
    </font>
    <font>
      <sz val="10.0"/>
      <color theme="1"/>
      <name val="Arial"/>
    </font>
    <font>
      <b/>
      <sz val="10.0"/>
      <color theme="1"/>
      <name val="Arial"/>
    </font>
  </fonts>
  <fills count="9">
    <fill>
      <patternFill patternType="none"/>
    </fill>
    <fill>
      <patternFill patternType="lightGray"/>
    </fill>
    <fill>
      <patternFill patternType="solid">
        <fgColor rgb="FF1F3864"/>
        <bgColor rgb="FF1F3864"/>
      </patternFill>
    </fill>
    <fill>
      <patternFill patternType="solid">
        <fgColor rgb="FFDDEBF7"/>
        <bgColor rgb="FFDDEBF7"/>
      </patternFill>
    </fill>
    <fill>
      <patternFill patternType="solid">
        <fgColor rgb="FFF8CBAD"/>
        <bgColor rgb="FFF8CBAD"/>
      </patternFill>
    </fill>
    <fill>
      <patternFill patternType="solid">
        <fgColor rgb="FFFFE699"/>
        <bgColor rgb="FFFFE699"/>
      </patternFill>
    </fill>
    <fill>
      <patternFill patternType="solid">
        <fgColor rgb="FFFCE4D6"/>
        <bgColor rgb="FFFCE4D6"/>
      </patternFill>
    </fill>
    <fill>
      <patternFill patternType="solid">
        <fgColor rgb="FFC6E0B4"/>
        <bgColor rgb="FFC6E0B4"/>
      </patternFill>
    </fill>
    <fill>
      <patternFill patternType="solid">
        <fgColor rgb="FFEDEDED"/>
        <bgColor rgb="FFEDEDED"/>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bottom" wrapText="0"/>
    </xf>
    <xf borderId="1" fillId="0" fontId="3" numFmtId="0" xfId="0" applyAlignment="1" applyBorder="1" applyFont="1">
      <alignment shrinkToFit="0" vertical="bottom" wrapText="0"/>
    </xf>
    <xf borderId="1" fillId="0" fontId="3" numFmtId="0" xfId="0" applyAlignment="1" applyBorder="1" applyFont="1">
      <alignment shrinkToFit="0" vertical="top" wrapText="1"/>
    </xf>
    <xf borderId="1" fillId="0" fontId="4"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horizontal="center" shrinkToFit="0" vertical="top" wrapText="1"/>
    </xf>
    <xf borderId="1" fillId="3" fontId="3" numFmtId="0" xfId="0" applyAlignment="1" applyBorder="1" applyFill="1" applyFont="1">
      <alignment horizontal="center" shrinkToFit="0" vertical="top" wrapText="1"/>
    </xf>
    <xf borderId="1" fillId="4" fontId="3" numFmtId="0" xfId="0" applyAlignment="1" applyBorder="1" applyFill="1" applyFont="1">
      <alignment horizontal="center" shrinkToFit="0" vertical="top" wrapText="1"/>
    </xf>
    <xf borderId="1" fillId="5" fontId="3" numFmtId="0" xfId="0" applyAlignment="1" applyBorder="1" applyFill="1" applyFont="1">
      <alignment horizontal="center" shrinkToFit="0" vertical="top" wrapText="1"/>
    </xf>
    <xf borderId="1" fillId="0" fontId="4" numFmtId="0" xfId="0" applyAlignment="1" applyBorder="1" applyFont="1">
      <alignment shrinkToFit="0" vertical="bottom" wrapText="0"/>
    </xf>
    <xf borderId="1" fillId="6" fontId="3" numFmtId="0" xfId="0" applyAlignment="1" applyBorder="1" applyFill="1" applyFont="1">
      <alignment horizontal="center" shrinkToFit="0" vertical="top" wrapText="1"/>
    </xf>
    <xf borderId="0" fillId="0" fontId="4" numFmtId="0" xfId="0" applyAlignment="1" applyFont="1">
      <alignment shrinkToFit="0" vertical="bottom" wrapText="0"/>
    </xf>
    <xf borderId="1" fillId="7" fontId="3" numFmtId="0" xfId="0" applyAlignment="1" applyBorder="1" applyFill="1" applyFont="1">
      <alignment horizontal="center" shrinkToFit="0" vertical="top" wrapText="1"/>
    </xf>
    <xf borderId="1" fillId="8" fontId="3"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24.0"/>
    <col customWidth="1" min="3" max="3" width="38.0"/>
    <col customWidth="1" min="4" max="4" width="11.0"/>
    <col customWidth="1" min="5" max="5" width="10.0"/>
    <col customWidth="1" min="6" max="6" width="36.0"/>
    <col customWidth="1" min="7" max="7" width="52.0"/>
    <col customWidth="1" min="8" max="8" width="34.0"/>
    <col customWidth="1" min="9" max="9" width="52.0"/>
    <col customWidth="1" min="10" max="10" width="18.0"/>
    <col customWidth="1" min="11" max="11" width="14.0"/>
    <col customWidth="1" min="12" max="26" width="8.71"/>
  </cols>
  <sheetData>
    <row r="1" ht="30.0" customHeight="1">
      <c r="A1" s="2" t="s">
        <v>2</v>
      </c>
      <c r="B1" s="2" t="s">
        <v>13</v>
      </c>
      <c r="C1" s="2" t="s">
        <v>15</v>
      </c>
      <c r="D1" s="2" t="s">
        <v>16</v>
      </c>
      <c r="E1" s="2" t="s">
        <v>18</v>
      </c>
      <c r="F1" s="2" t="s">
        <v>19</v>
      </c>
      <c r="G1" s="2" t="s">
        <v>20</v>
      </c>
      <c r="H1" s="2" t="s">
        <v>21</v>
      </c>
      <c r="I1" s="2" t="s">
        <v>22</v>
      </c>
      <c r="J1" s="2" t="s">
        <v>23</v>
      </c>
      <c r="K1" s="2" t="s">
        <v>24</v>
      </c>
    </row>
    <row r="2" ht="125.25" customHeight="1">
      <c r="A2" s="6" t="s">
        <v>29</v>
      </c>
      <c r="B2" s="5" t="s">
        <v>40</v>
      </c>
      <c r="C2" s="7" t="s">
        <v>48</v>
      </c>
      <c r="D2" s="9" t="s">
        <v>71</v>
      </c>
      <c r="E2" s="10" t="s">
        <v>75</v>
      </c>
      <c r="F2" s="5" t="s">
        <v>83</v>
      </c>
      <c r="G2" s="5" t="s">
        <v>86</v>
      </c>
      <c r="H2" s="5" t="s">
        <v>89</v>
      </c>
      <c r="I2" s="5" t="s">
        <v>90</v>
      </c>
      <c r="J2" s="8"/>
      <c r="K2" s="8" t="s">
        <v>94</v>
      </c>
    </row>
    <row r="3" ht="98.25" customHeight="1">
      <c r="A3" s="6" t="s">
        <v>97</v>
      </c>
      <c r="B3" s="5" t="s">
        <v>100</v>
      </c>
      <c r="C3" s="5" t="s">
        <v>101</v>
      </c>
      <c r="D3" s="9" t="s">
        <v>71</v>
      </c>
      <c r="E3" s="10" t="s">
        <v>75</v>
      </c>
      <c r="F3" s="5" t="s">
        <v>83</v>
      </c>
      <c r="G3" s="5" t="s">
        <v>104</v>
      </c>
      <c r="H3" s="5" t="s">
        <v>106</v>
      </c>
      <c r="I3" s="7" t="s">
        <v>108</v>
      </c>
      <c r="J3" s="8"/>
      <c r="K3" s="8" t="s">
        <v>94</v>
      </c>
    </row>
    <row r="4" ht="84.75" customHeight="1">
      <c r="A4" s="6" t="s">
        <v>110</v>
      </c>
      <c r="B4" s="7" t="s">
        <v>113</v>
      </c>
      <c r="C4" s="5" t="s">
        <v>114</v>
      </c>
      <c r="D4" s="9" t="s">
        <v>71</v>
      </c>
      <c r="E4" s="11" t="s">
        <v>115</v>
      </c>
      <c r="F4" s="5" t="s">
        <v>83</v>
      </c>
      <c r="G4" s="5" t="s">
        <v>129</v>
      </c>
      <c r="H4" s="5" t="s">
        <v>106</v>
      </c>
      <c r="I4" s="7" t="s">
        <v>130</v>
      </c>
      <c r="J4" s="8"/>
      <c r="K4" s="8" t="s">
        <v>94</v>
      </c>
    </row>
    <row r="5" ht="84.75" customHeight="1">
      <c r="A5" s="6" t="s">
        <v>134</v>
      </c>
      <c r="B5" s="5" t="s">
        <v>135</v>
      </c>
      <c r="C5" s="5" t="s">
        <v>136</v>
      </c>
      <c r="D5" s="13" t="s">
        <v>138</v>
      </c>
      <c r="E5" s="10" t="s">
        <v>75</v>
      </c>
      <c r="F5" s="5" t="s">
        <v>83</v>
      </c>
      <c r="G5" s="5" t="s">
        <v>148</v>
      </c>
      <c r="H5" s="5" t="s">
        <v>150</v>
      </c>
      <c r="I5" s="7" t="s">
        <v>153</v>
      </c>
      <c r="J5" s="8"/>
      <c r="K5" s="8" t="s">
        <v>94</v>
      </c>
    </row>
    <row r="6" ht="84.75" customHeight="1">
      <c r="A6" s="6" t="s">
        <v>154</v>
      </c>
      <c r="B6" s="5" t="s">
        <v>135</v>
      </c>
      <c r="C6" s="5" t="s">
        <v>155</v>
      </c>
      <c r="D6" s="13" t="s">
        <v>138</v>
      </c>
      <c r="E6" s="10" t="s">
        <v>75</v>
      </c>
      <c r="F6" s="5" t="s">
        <v>83</v>
      </c>
      <c r="G6" s="5" t="s">
        <v>159</v>
      </c>
      <c r="H6" s="5" t="s">
        <v>160</v>
      </c>
      <c r="I6" s="5" t="s">
        <v>162</v>
      </c>
      <c r="J6" s="8"/>
      <c r="K6" s="8" t="s">
        <v>94</v>
      </c>
    </row>
    <row r="7" ht="84.75" customHeight="1">
      <c r="A7" s="6" t="s">
        <v>163</v>
      </c>
      <c r="B7" s="5" t="s">
        <v>135</v>
      </c>
      <c r="C7" s="5" t="s">
        <v>164</v>
      </c>
      <c r="D7" s="13" t="s">
        <v>138</v>
      </c>
      <c r="E7" s="10" t="s">
        <v>75</v>
      </c>
      <c r="F7" s="5" t="s">
        <v>83</v>
      </c>
      <c r="G7" s="5" t="s">
        <v>167</v>
      </c>
      <c r="H7" s="5" t="s">
        <v>168</v>
      </c>
      <c r="I7" s="5" t="s">
        <v>170</v>
      </c>
      <c r="J7" s="8"/>
      <c r="K7" s="8" t="s">
        <v>94</v>
      </c>
    </row>
    <row r="8" ht="84.75" customHeight="1">
      <c r="A8" s="6" t="s">
        <v>171</v>
      </c>
      <c r="B8" s="5" t="s">
        <v>135</v>
      </c>
      <c r="C8" s="5" t="s">
        <v>173</v>
      </c>
      <c r="D8" s="13" t="s">
        <v>138</v>
      </c>
      <c r="E8" s="11" t="s">
        <v>115</v>
      </c>
      <c r="F8" s="5" t="s">
        <v>83</v>
      </c>
      <c r="G8" s="5" t="s">
        <v>176</v>
      </c>
      <c r="H8" s="5" t="s">
        <v>177</v>
      </c>
      <c r="I8" s="7" t="s">
        <v>179</v>
      </c>
      <c r="J8" s="8"/>
      <c r="K8" s="8" t="s">
        <v>94</v>
      </c>
    </row>
    <row r="9" ht="84.75" customHeight="1">
      <c r="A9" s="6" t="s">
        <v>183</v>
      </c>
      <c r="B9" s="5" t="s">
        <v>135</v>
      </c>
      <c r="C9" s="5" t="s">
        <v>184</v>
      </c>
      <c r="D9" s="13" t="s">
        <v>138</v>
      </c>
      <c r="E9" s="11" t="s">
        <v>115</v>
      </c>
      <c r="F9" s="5" t="s">
        <v>83</v>
      </c>
      <c r="G9" s="5" t="s">
        <v>188</v>
      </c>
      <c r="H9" s="7" t="s">
        <v>189</v>
      </c>
      <c r="I9" s="5" t="s">
        <v>190</v>
      </c>
      <c r="J9" s="8"/>
      <c r="K9" s="8" t="s">
        <v>94</v>
      </c>
    </row>
    <row r="10" ht="84.75" customHeight="1">
      <c r="A10" s="6" t="s">
        <v>192</v>
      </c>
      <c r="B10" s="5" t="s">
        <v>135</v>
      </c>
      <c r="C10" s="5" t="s">
        <v>194</v>
      </c>
      <c r="D10" s="13" t="s">
        <v>138</v>
      </c>
      <c r="E10" s="10" t="s">
        <v>75</v>
      </c>
      <c r="F10" s="5" t="s">
        <v>83</v>
      </c>
      <c r="G10" s="5" t="s">
        <v>196</v>
      </c>
      <c r="H10" s="5" t="s">
        <v>197</v>
      </c>
      <c r="I10" s="5" t="s">
        <v>198</v>
      </c>
      <c r="J10" s="8"/>
      <c r="K10" s="8" t="s">
        <v>94</v>
      </c>
    </row>
    <row r="11" ht="84.75" customHeight="1">
      <c r="A11" s="6" t="s">
        <v>199</v>
      </c>
      <c r="B11" s="5" t="s">
        <v>135</v>
      </c>
      <c r="C11" s="5" t="s">
        <v>201</v>
      </c>
      <c r="D11" s="13" t="s">
        <v>138</v>
      </c>
      <c r="E11" s="10" t="s">
        <v>75</v>
      </c>
      <c r="F11" s="5" t="s">
        <v>83</v>
      </c>
      <c r="G11" s="5" t="s">
        <v>204</v>
      </c>
      <c r="H11" s="5" t="s">
        <v>205</v>
      </c>
      <c r="I11" s="5" t="s">
        <v>206</v>
      </c>
      <c r="J11" s="8"/>
      <c r="K11" s="8" t="s">
        <v>94</v>
      </c>
    </row>
    <row r="12" ht="84.75" customHeight="1">
      <c r="A12" s="6" t="s">
        <v>207</v>
      </c>
      <c r="B12" s="5" t="s">
        <v>135</v>
      </c>
      <c r="C12" s="5" t="s">
        <v>208</v>
      </c>
      <c r="D12" s="13" t="s">
        <v>138</v>
      </c>
      <c r="E12" s="15" t="s">
        <v>210</v>
      </c>
      <c r="F12" s="5" t="s">
        <v>83</v>
      </c>
      <c r="G12" s="5" t="s">
        <v>211</v>
      </c>
      <c r="H12" s="5" t="s">
        <v>212</v>
      </c>
      <c r="I12" s="5" t="s">
        <v>213</v>
      </c>
      <c r="J12" s="8"/>
      <c r="K12" s="8" t="s">
        <v>94</v>
      </c>
    </row>
    <row r="13" ht="111.75" customHeight="1">
      <c r="A13" s="6" t="s">
        <v>214</v>
      </c>
      <c r="B13" s="5" t="s">
        <v>135</v>
      </c>
      <c r="C13" s="5" t="s">
        <v>215</v>
      </c>
      <c r="D13" s="16" t="s">
        <v>180</v>
      </c>
      <c r="E13" s="10" t="s">
        <v>75</v>
      </c>
      <c r="F13" s="5" t="s">
        <v>83</v>
      </c>
      <c r="G13" s="5" t="s">
        <v>217</v>
      </c>
      <c r="H13" s="5" t="s">
        <v>218</v>
      </c>
      <c r="I13" s="5" t="s">
        <v>219</v>
      </c>
      <c r="J13" s="8"/>
      <c r="K13" s="8" t="s">
        <v>94</v>
      </c>
    </row>
    <row r="14" ht="84.75" customHeight="1">
      <c r="A14" s="6" t="s">
        <v>220</v>
      </c>
      <c r="B14" s="5" t="s">
        <v>135</v>
      </c>
      <c r="C14" s="5" t="s">
        <v>221</v>
      </c>
      <c r="D14" s="16" t="s">
        <v>180</v>
      </c>
      <c r="E14" s="10" t="s">
        <v>75</v>
      </c>
      <c r="F14" s="5" t="s">
        <v>83</v>
      </c>
      <c r="G14" s="5" t="s">
        <v>222</v>
      </c>
      <c r="H14" s="5" t="s">
        <v>223</v>
      </c>
      <c r="I14" s="5" t="s">
        <v>224</v>
      </c>
      <c r="J14" s="8"/>
      <c r="K14" s="8" t="s">
        <v>94</v>
      </c>
    </row>
    <row r="15" ht="84.75" customHeight="1">
      <c r="A15" s="6" t="s">
        <v>225</v>
      </c>
      <c r="B15" s="5" t="s">
        <v>135</v>
      </c>
      <c r="C15" s="5" t="s">
        <v>226</v>
      </c>
      <c r="D15" s="16" t="s">
        <v>180</v>
      </c>
      <c r="E15" s="11" t="s">
        <v>115</v>
      </c>
      <c r="F15" s="5" t="s">
        <v>83</v>
      </c>
      <c r="G15" s="5" t="s">
        <v>227</v>
      </c>
      <c r="H15" s="7" t="s">
        <v>228</v>
      </c>
      <c r="I15" s="5" t="s">
        <v>229</v>
      </c>
      <c r="J15" s="8"/>
      <c r="K15" s="8" t="s">
        <v>94</v>
      </c>
    </row>
    <row r="16" ht="111.75" customHeight="1">
      <c r="A16" s="6" t="s">
        <v>230</v>
      </c>
      <c r="B16" s="5" t="s">
        <v>135</v>
      </c>
      <c r="C16" s="5" t="s">
        <v>231</v>
      </c>
      <c r="D16" s="16" t="s">
        <v>180</v>
      </c>
      <c r="E16" s="10" t="s">
        <v>75</v>
      </c>
      <c r="F16" s="5" t="s">
        <v>83</v>
      </c>
      <c r="G16" s="5" t="s">
        <v>232</v>
      </c>
      <c r="H16" s="5" t="s">
        <v>233</v>
      </c>
      <c r="I16" s="5" t="s">
        <v>234</v>
      </c>
      <c r="J16" s="8"/>
      <c r="K16" s="8" t="s">
        <v>94</v>
      </c>
    </row>
    <row r="17" ht="84.75" customHeight="1">
      <c r="A17" s="6" t="s">
        <v>235</v>
      </c>
      <c r="B17" s="5" t="s">
        <v>135</v>
      </c>
      <c r="C17" s="5" t="s">
        <v>236</v>
      </c>
      <c r="D17" s="16" t="s">
        <v>180</v>
      </c>
      <c r="E17" s="10" t="s">
        <v>75</v>
      </c>
      <c r="F17" s="5" t="s">
        <v>83</v>
      </c>
      <c r="G17" s="5" t="s">
        <v>237</v>
      </c>
      <c r="H17" s="5" t="s">
        <v>238</v>
      </c>
      <c r="I17" s="5" t="s">
        <v>239</v>
      </c>
      <c r="J17" s="8"/>
      <c r="K17" s="8" t="s">
        <v>94</v>
      </c>
    </row>
    <row r="18" ht="84.75" customHeight="1">
      <c r="A18" s="6" t="s">
        <v>240</v>
      </c>
      <c r="B18" s="5" t="s">
        <v>135</v>
      </c>
      <c r="C18" s="5" t="s">
        <v>241</v>
      </c>
      <c r="D18" s="16" t="s">
        <v>180</v>
      </c>
      <c r="E18" s="11" t="s">
        <v>115</v>
      </c>
      <c r="F18" s="5" t="s">
        <v>83</v>
      </c>
      <c r="G18" s="5" t="s">
        <v>242</v>
      </c>
      <c r="H18" s="7" t="s">
        <v>243</v>
      </c>
      <c r="I18" s="7" t="s">
        <v>244</v>
      </c>
      <c r="J18" s="8"/>
      <c r="K18" s="8" t="s">
        <v>94</v>
      </c>
    </row>
    <row r="19" ht="98.25" customHeight="1">
      <c r="A19" s="6" t="s">
        <v>245</v>
      </c>
      <c r="B19" s="5" t="s">
        <v>246</v>
      </c>
      <c r="C19" s="5" t="s">
        <v>247</v>
      </c>
      <c r="D19" s="9" t="s">
        <v>71</v>
      </c>
      <c r="E19" s="10" t="s">
        <v>75</v>
      </c>
      <c r="F19" s="5" t="s">
        <v>83</v>
      </c>
      <c r="G19" s="5" t="s">
        <v>248</v>
      </c>
      <c r="H19" s="7" t="s">
        <v>249</v>
      </c>
      <c r="I19" s="5" t="s">
        <v>250</v>
      </c>
      <c r="J19" s="8"/>
      <c r="K19" s="8" t="s">
        <v>94</v>
      </c>
    </row>
    <row r="20" ht="84.75" customHeight="1">
      <c r="A20" s="6" t="s">
        <v>47</v>
      </c>
      <c r="B20" s="5" t="s">
        <v>246</v>
      </c>
      <c r="C20" s="5" t="s">
        <v>251</v>
      </c>
      <c r="D20" s="13" t="s">
        <v>138</v>
      </c>
      <c r="E20" s="10" t="s">
        <v>75</v>
      </c>
      <c r="F20" s="5" t="s">
        <v>252</v>
      </c>
      <c r="G20" s="5" t="s">
        <v>253</v>
      </c>
      <c r="H20" s="5" t="s">
        <v>254</v>
      </c>
      <c r="I20" s="7" t="s">
        <v>255</v>
      </c>
      <c r="J20" s="8"/>
      <c r="K20" s="8" t="s">
        <v>94</v>
      </c>
    </row>
    <row r="21" ht="84.75" customHeight="1">
      <c r="A21" s="6" t="s">
        <v>51</v>
      </c>
      <c r="B21" s="5" t="s">
        <v>246</v>
      </c>
      <c r="C21" s="5" t="s">
        <v>256</v>
      </c>
      <c r="D21" s="16" t="s">
        <v>180</v>
      </c>
      <c r="E21" s="10" t="s">
        <v>75</v>
      </c>
      <c r="F21" s="5" t="s">
        <v>257</v>
      </c>
      <c r="G21" s="5" t="s">
        <v>253</v>
      </c>
      <c r="H21" s="5" t="s">
        <v>258</v>
      </c>
      <c r="I21" s="5" t="s">
        <v>259</v>
      </c>
      <c r="J21" s="8"/>
      <c r="K21" s="8" t="s">
        <v>94</v>
      </c>
    </row>
    <row r="22" ht="111.75" customHeight="1">
      <c r="A22" s="6" t="s">
        <v>260</v>
      </c>
      <c r="B22" s="5" t="s">
        <v>246</v>
      </c>
      <c r="C22" s="5" t="s">
        <v>261</v>
      </c>
      <c r="D22" s="16" t="s">
        <v>180</v>
      </c>
      <c r="E22" s="10" t="s">
        <v>75</v>
      </c>
      <c r="F22" s="5" t="s">
        <v>262</v>
      </c>
      <c r="G22" s="5" t="s">
        <v>263</v>
      </c>
      <c r="H22" s="5" t="s">
        <v>264</v>
      </c>
      <c r="I22" s="5" t="s">
        <v>265</v>
      </c>
      <c r="J22" s="8"/>
      <c r="K22" s="8" t="s">
        <v>94</v>
      </c>
    </row>
    <row r="23" ht="84.75" customHeight="1">
      <c r="A23" s="6" t="s">
        <v>57</v>
      </c>
      <c r="B23" s="5" t="s">
        <v>246</v>
      </c>
      <c r="C23" s="5" t="s">
        <v>266</v>
      </c>
      <c r="D23" s="16" t="s">
        <v>180</v>
      </c>
      <c r="E23" s="10" t="s">
        <v>75</v>
      </c>
      <c r="F23" s="5" t="s">
        <v>267</v>
      </c>
      <c r="G23" s="5" t="s">
        <v>253</v>
      </c>
      <c r="H23" s="5" t="s">
        <v>268</v>
      </c>
      <c r="I23" s="5" t="s">
        <v>269</v>
      </c>
      <c r="J23" s="8"/>
      <c r="K23" s="8" t="s">
        <v>94</v>
      </c>
    </row>
    <row r="24" ht="84.75" customHeight="1">
      <c r="A24" s="6" t="s">
        <v>60</v>
      </c>
      <c r="B24" s="5" t="s">
        <v>246</v>
      </c>
      <c r="C24" s="5" t="s">
        <v>270</v>
      </c>
      <c r="D24" s="13" t="s">
        <v>138</v>
      </c>
      <c r="E24" s="11" t="s">
        <v>115</v>
      </c>
      <c r="F24" s="5" t="s">
        <v>271</v>
      </c>
      <c r="G24" s="5" t="s">
        <v>272</v>
      </c>
      <c r="H24" s="5" t="s">
        <v>273</v>
      </c>
      <c r="I24" s="5" t="s">
        <v>274</v>
      </c>
      <c r="J24" s="8"/>
      <c r="K24" s="8" t="s">
        <v>94</v>
      </c>
    </row>
    <row r="25" ht="84.75" customHeight="1">
      <c r="A25" s="6" t="s">
        <v>275</v>
      </c>
      <c r="B25" s="5" t="s">
        <v>246</v>
      </c>
      <c r="C25" s="5" t="s">
        <v>276</v>
      </c>
      <c r="D25" s="13" t="s">
        <v>138</v>
      </c>
      <c r="E25" s="11" t="s">
        <v>115</v>
      </c>
      <c r="F25" s="5" t="s">
        <v>83</v>
      </c>
      <c r="G25" s="5" t="s">
        <v>277</v>
      </c>
      <c r="H25" s="7" t="s">
        <v>278</v>
      </c>
      <c r="I25" s="5" t="s">
        <v>279</v>
      </c>
      <c r="J25" s="8"/>
      <c r="K25" s="8" t="s">
        <v>94</v>
      </c>
    </row>
    <row r="26" ht="98.25" customHeight="1">
      <c r="A26" s="6" t="s">
        <v>280</v>
      </c>
      <c r="B26" s="5" t="s">
        <v>281</v>
      </c>
      <c r="C26" s="5" t="s">
        <v>282</v>
      </c>
      <c r="D26" s="9" t="s">
        <v>71</v>
      </c>
      <c r="E26" s="10" t="s">
        <v>75</v>
      </c>
      <c r="F26" s="5" t="s">
        <v>83</v>
      </c>
      <c r="G26" s="5" t="s">
        <v>283</v>
      </c>
      <c r="H26" s="5" t="s">
        <v>284</v>
      </c>
      <c r="I26" s="7" t="s">
        <v>285</v>
      </c>
      <c r="J26" s="8"/>
      <c r="K26" s="8" t="s">
        <v>94</v>
      </c>
    </row>
    <row r="27" ht="84.75" customHeight="1">
      <c r="A27" s="6" t="s">
        <v>286</v>
      </c>
      <c r="B27" s="5" t="s">
        <v>281</v>
      </c>
      <c r="C27" s="5" t="s">
        <v>287</v>
      </c>
      <c r="D27" s="13" t="s">
        <v>138</v>
      </c>
      <c r="E27" s="10" t="s">
        <v>75</v>
      </c>
      <c r="F27" s="5" t="s">
        <v>83</v>
      </c>
      <c r="G27" s="5" t="s">
        <v>288</v>
      </c>
      <c r="H27" s="5" t="s">
        <v>289</v>
      </c>
      <c r="I27" s="5" t="s">
        <v>290</v>
      </c>
      <c r="J27" s="8"/>
      <c r="K27" s="8" t="s">
        <v>94</v>
      </c>
    </row>
    <row r="28" ht="84.75" customHeight="1">
      <c r="A28" s="6" t="s">
        <v>70</v>
      </c>
      <c r="B28" s="5" t="s">
        <v>281</v>
      </c>
      <c r="C28" s="5" t="s">
        <v>291</v>
      </c>
      <c r="D28" s="13" t="s">
        <v>138</v>
      </c>
      <c r="E28" s="10" t="s">
        <v>75</v>
      </c>
      <c r="F28" s="5" t="s">
        <v>292</v>
      </c>
      <c r="G28" s="5" t="s">
        <v>293</v>
      </c>
      <c r="H28" s="5" t="s">
        <v>294</v>
      </c>
      <c r="I28" s="5" t="s">
        <v>295</v>
      </c>
      <c r="J28" s="8"/>
      <c r="K28" s="8" t="s">
        <v>94</v>
      </c>
    </row>
    <row r="29" ht="98.25" customHeight="1">
      <c r="A29" s="6" t="s">
        <v>67</v>
      </c>
      <c r="B29" s="5" t="s">
        <v>281</v>
      </c>
      <c r="C29" s="5" t="s">
        <v>296</v>
      </c>
      <c r="D29" s="13" t="s">
        <v>138</v>
      </c>
      <c r="E29" s="10" t="s">
        <v>75</v>
      </c>
      <c r="F29" s="7" t="s">
        <v>297</v>
      </c>
      <c r="G29" s="5" t="s">
        <v>298</v>
      </c>
      <c r="H29" s="5" t="s">
        <v>299</v>
      </c>
      <c r="I29" s="5" t="s">
        <v>300</v>
      </c>
      <c r="J29" s="8"/>
      <c r="K29" s="8" t="s">
        <v>94</v>
      </c>
    </row>
    <row r="30" ht="125.25" customHeight="1">
      <c r="A30" s="6" t="s">
        <v>301</v>
      </c>
      <c r="B30" s="5" t="s">
        <v>281</v>
      </c>
      <c r="C30" s="5" t="s">
        <v>302</v>
      </c>
      <c r="D30" s="13" t="s">
        <v>138</v>
      </c>
      <c r="E30" s="10" t="s">
        <v>75</v>
      </c>
      <c r="F30" s="5" t="s">
        <v>303</v>
      </c>
      <c r="G30" s="5" t="s">
        <v>304</v>
      </c>
      <c r="H30" s="5" t="s">
        <v>305</v>
      </c>
      <c r="I30" s="5" t="s">
        <v>306</v>
      </c>
      <c r="J30" s="8"/>
      <c r="K30" s="8" t="s">
        <v>94</v>
      </c>
    </row>
    <row r="31" ht="125.25" customHeight="1">
      <c r="A31" s="6" t="s">
        <v>63</v>
      </c>
      <c r="B31" s="5" t="s">
        <v>281</v>
      </c>
      <c r="C31" s="5" t="s">
        <v>307</v>
      </c>
      <c r="D31" s="9" t="s">
        <v>71</v>
      </c>
      <c r="E31" s="11" t="s">
        <v>115</v>
      </c>
      <c r="F31" s="7" t="s">
        <v>308</v>
      </c>
      <c r="G31" s="5" t="s">
        <v>309</v>
      </c>
      <c r="H31" s="5" t="s">
        <v>310</v>
      </c>
      <c r="I31" s="5" t="s">
        <v>311</v>
      </c>
      <c r="J31" s="8"/>
      <c r="K31" s="8" t="s">
        <v>94</v>
      </c>
    </row>
    <row r="32" ht="84.75" customHeight="1">
      <c r="A32" s="6" t="s">
        <v>312</v>
      </c>
      <c r="B32" s="5" t="s">
        <v>313</v>
      </c>
      <c r="C32" s="5" t="s">
        <v>314</v>
      </c>
      <c r="D32" s="9" t="s">
        <v>71</v>
      </c>
      <c r="E32" s="10" t="s">
        <v>75</v>
      </c>
      <c r="F32" s="5" t="s">
        <v>83</v>
      </c>
      <c r="G32" s="5" t="s">
        <v>315</v>
      </c>
      <c r="H32" s="5" t="s">
        <v>316</v>
      </c>
      <c r="I32" s="5" t="s">
        <v>317</v>
      </c>
      <c r="J32" s="8"/>
      <c r="K32" s="8" t="s">
        <v>94</v>
      </c>
    </row>
    <row r="33" ht="98.25" customHeight="1">
      <c r="A33" s="6" t="s">
        <v>318</v>
      </c>
      <c r="B33" s="5" t="s">
        <v>313</v>
      </c>
      <c r="C33" s="5" t="s">
        <v>319</v>
      </c>
      <c r="D33" s="13" t="s">
        <v>138</v>
      </c>
      <c r="E33" s="10" t="s">
        <v>75</v>
      </c>
      <c r="F33" s="5" t="s">
        <v>83</v>
      </c>
      <c r="G33" s="5" t="s">
        <v>320</v>
      </c>
      <c r="H33" s="5" t="s">
        <v>321</v>
      </c>
      <c r="I33" s="7" t="s">
        <v>322</v>
      </c>
      <c r="J33" s="8"/>
      <c r="K33" s="8" t="s">
        <v>94</v>
      </c>
    </row>
    <row r="34" ht="84.75" customHeight="1">
      <c r="A34" s="6" t="s">
        <v>323</v>
      </c>
      <c r="B34" s="5" t="s">
        <v>313</v>
      </c>
      <c r="C34" s="5" t="s">
        <v>324</v>
      </c>
      <c r="D34" s="13" t="s">
        <v>138</v>
      </c>
      <c r="E34" s="11" t="s">
        <v>115</v>
      </c>
      <c r="F34" s="5" t="s">
        <v>83</v>
      </c>
      <c r="G34" s="5" t="s">
        <v>325</v>
      </c>
      <c r="H34" s="5" t="s">
        <v>326</v>
      </c>
      <c r="I34" s="5" t="s">
        <v>327</v>
      </c>
      <c r="J34" s="8"/>
      <c r="K34" s="8" t="s">
        <v>94</v>
      </c>
    </row>
    <row r="35" ht="84.75" customHeight="1">
      <c r="A35" s="6" t="s">
        <v>328</v>
      </c>
      <c r="B35" s="5" t="s">
        <v>313</v>
      </c>
      <c r="C35" s="5" t="s">
        <v>329</v>
      </c>
      <c r="D35" s="13" t="s">
        <v>138</v>
      </c>
      <c r="E35" s="11" t="s">
        <v>115</v>
      </c>
      <c r="F35" s="5" t="s">
        <v>83</v>
      </c>
      <c r="G35" s="5" t="s">
        <v>330</v>
      </c>
      <c r="H35" s="5" t="s">
        <v>331</v>
      </c>
      <c r="I35" s="5" t="s">
        <v>332</v>
      </c>
      <c r="J35" s="8"/>
      <c r="K35" s="8" t="s">
        <v>94</v>
      </c>
    </row>
    <row r="36" ht="84.75" customHeight="1">
      <c r="A36" s="6" t="s">
        <v>333</v>
      </c>
      <c r="B36" s="5" t="s">
        <v>313</v>
      </c>
      <c r="C36" s="5" t="s">
        <v>334</v>
      </c>
      <c r="D36" s="13" t="s">
        <v>138</v>
      </c>
      <c r="E36" s="15" t="s">
        <v>210</v>
      </c>
      <c r="F36" s="5" t="s">
        <v>83</v>
      </c>
      <c r="G36" s="5" t="s">
        <v>335</v>
      </c>
      <c r="H36" s="5" t="s">
        <v>336</v>
      </c>
      <c r="I36" s="5" t="s">
        <v>337</v>
      </c>
      <c r="J36" s="8"/>
      <c r="K36" s="8" t="s">
        <v>94</v>
      </c>
    </row>
    <row r="37" ht="84.75" customHeight="1">
      <c r="A37" s="6" t="s">
        <v>338</v>
      </c>
      <c r="B37" s="5" t="s">
        <v>313</v>
      </c>
      <c r="C37" s="5" t="s">
        <v>339</v>
      </c>
      <c r="D37" s="13" t="s">
        <v>138</v>
      </c>
      <c r="E37" s="11" t="s">
        <v>115</v>
      </c>
      <c r="F37" s="5" t="s">
        <v>83</v>
      </c>
      <c r="G37" s="5" t="s">
        <v>340</v>
      </c>
      <c r="H37" s="5" t="s">
        <v>341</v>
      </c>
      <c r="I37" s="5" t="s">
        <v>342</v>
      </c>
      <c r="J37" s="8"/>
      <c r="K37" s="8" t="s">
        <v>94</v>
      </c>
    </row>
    <row r="38" ht="98.25" customHeight="1">
      <c r="A38" s="6" t="s">
        <v>343</v>
      </c>
      <c r="B38" s="5" t="s">
        <v>313</v>
      </c>
      <c r="C38" s="5" t="s">
        <v>344</v>
      </c>
      <c r="D38" s="13" t="s">
        <v>138</v>
      </c>
      <c r="E38" s="10" t="s">
        <v>75</v>
      </c>
      <c r="F38" s="5" t="s">
        <v>83</v>
      </c>
      <c r="G38" s="5" t="s">
        <v>345</v>
      </c>
      <c r="H38" s="5" t="s">
        <v>346</v>
      </c>
      <c r="I38" s="5" t="s">
        <v>347</v>
      </c>
      <c r="J38" s="8"/>
      <c r="K38" s="8" t="s">
        <v>94</v>
      </c>
    </row>
    <row r="39" ht="98.25" customHeight="1">
      <c r="A39" s="6" t="s">
        <v>348</v>
      </c>
      <c r="B39" s="5" t="s">
        <v>313</v>
      </c>
      <c r="C39" s="5" t="s">
        <v>349</v>
      </c>
      <c r="D39" s="16" t="s">
        <v>180</v>
      </c>
      <c r="E39" s="10" t="s">
        <v>75</v>
      </c>
      <c r="F39" s="5" t="s">
        <v>83</v>
      </c>
      <c r="G39" s="5" t="s">
        <v>350</v>
      </c>
      <c r="H39" s="7" t="s">
        <v>351</v>
      </c>
      <c r="I39" s="5" t="s">
        <v>352</v>
      </c>
      <c r="J39" s="8"/>
      <c r="K39" s="8" t="s">
        <v>94</v>
      </c>
    </row>
    <row r="40" ht="98.25" customHeight="1">
      <c r="A40" s="6" t="s">
        <v>353</v>
      </c>
      <c r="B40" s="5" t="s">
        <v>313</v>
      </c>
      <c r="C40" s="5" t="s">
        <v>354</v>
      </c>
      <c r="D40" s="16" t="s">
        <v>180</v>
      </c>
      <c r="E40" s="11" t="s">
        <v>115</v>
      </c>
      <c r="F40" s="5" t="s">
        <v>83</v>
      </c>
      <c r="G40" s="5" t="s">
        <v>355</v>
      </c>
      <c r="H40" s="5" t="s">
        <v>356</v>
      </c>
      <c r="I40" s="7" t="s">
        <v>357</v>
      </c>
      <c r="J40" s="8"/>
      <c r="K40" s="8" t="s">
        <v>94</v>
      </c>
    </row>
    <row r="41" ht="138.75" customHeight="1">
      <c r="A41" s="6" t="s">
        <v>358</v>
      </c>
      <c r="B41" s="5" t="s">
        <v>313</v>
      </c>
      <c r="C41" s="5" t="s">
        <v>359</v>
      </c>
      <c r="D41" s="13" t="s">
        <v>138</v>
      </c>
      <c r="E41" s="10" t="s">
        <v>75</v>
      </c>
      <c r="F41" s="5" t="s">
        <v>83</v>
      </c>
      <c r="G41" s="5" t="s">
        <v>360</v>
      </c>
      <c r="H41" s="5" t="s">
        <v>361</v>
      </c>
      <c r="I41" s="5" t="s">
        <v>362</v>
      </c>
      <c r="J41" s="8"/>
      <c r="K41" s="8" t="s">
        <v>94</v>
      </c>
    </row>
    <row r="42" ht="84.75" customHeight="1">
      <c r="A42" s="6" t="s">
        <v>363</v>
      </c>
      <c r="B42" s="5" t="s">
        <v>313</v>
      </c>
      <c r="C42" s="5" t="s">
        <v>364</v>
      </c>
      <c r="D42" s="13" t="s">
        <v>138</v>
      </c>
      <c r="E42" s="10" t="s">
        <v>75</v>
      </c>
      <c r="F42" s="5" t="s">
        <v>83</v>
      </c>
      <c r="G42" s="7" t="s">
        <v>365</v>
      </c>
      <c r="H42" s="5" t="s">
        <v>366</v>
      </c>
      <c r="I42" s="5" t="s">
        <v>367</v>
      </c>
      <c r="J42" s="8"/>
      <c r="K42" s="8" t="s">
        <v>94</v>
      </c>
    </row>
    <row r="43" ht="98.25" customHeight="1">
      <c r="A43" s="6" t="s">
        <v>368</v>
      </c>
      <c r="B43" s="5" t="s">
        <v>313</v>
      </c>
      <c r="C43" s="5" t="s">
        <v>369</v>
      </c>
      <c r="D43" s="13" t="s">
        <v>138</v>
      </c>
      <c r="E43" s="11" t="s">
        <v>115</v>
      </c>
      <c r="F43" s="5" t="s">
        <v>83</v>
      </c>
      <c r="G43" s="5" t="s">
        <v>370</v>
      </c>
      <c r="H43" s="5" t="s">
        <v>371</v>
      </c>
      <c r="I43" s="7" t="s">
        <v>372</v>
      </c>
      <c r="J43" s="8"/>
      <c r="K43" s="8" t="s">
        <v>94</v>
      </c>
    </row>
    <row r="44" ht="125.25" customHeight="1">
      <c r="A44" s="6" t="s">
        <v>373</v>
      </c>
      <c r="B44" s="5" t="s">
        <v>374</v>
      </c>
      <c r="C44" s="5" t="s">
        <v>375</v>
      </c>
      <c r="D44" s="9" t="s">
        <v>71</v>
      </c>
      <c r="E44" s="10" t="s">
        <v>75</v>
      </c>
      <c r="F44" s="5" t="s">
        <v>83</v>
      </c>
      <c r="G44" s="5" t="s">
        <v>376</v>
      </c>
      <c r="H44" s="5" t="s">
        <v>377</v>
      </c>
      <c r="I44" s="5" t="s">
        <v>378</v>
      </c>
      <c r="J44" s="8"/>
      <c r="K44" s="8" t="s">
        <v>94</v>
      </c>
    </row>
    <row r="45" ht="125.25" customHeight="1">
      <c r="A45" s="6" t="s">
        <v>379</v>
      </c>
      <c r="B45" s="5" t="s">
        <v>374</v>
      </c>
      <c r="C45" s="5" t="s">
        <v>380</v>
      </c>
      <c r="D45" s="13" t="s">
        <v>138</v>
      </c>
      <c r="E45" s="10" t="s">
        <v>75</v>
      </c>
      <c r="F45" s="7" t="s">
        <v>381</v>
      </c>
      <c r="G45" s="5" t="s">
        <v>382</v>
      </c>
      <c r="H45" s="5" t="s">
        <v>383</v>
      </c>
      <c r="I45" s="7" t="s">
        <v>384</v>
      </c>
      <c r="J45" s="8"/>
      <c r="K45" s="8" t="s">
        <v>94</v>
      </c>
    </row>
    <row r="46" ht="152.25" customHeight="1">
      <c r="A46" s="6" t="s">
        <v>385</v>
      </c>
      <c r="B46" s="5" t="s">
        <v>374</v>
      </c>
      <c r="C46" s="5" t="s">
        <v>386</v>
      </c>
      <c r="D46" s="13" t="s">
        <v>138</v>
      </c>
      <c r="E46" s="10" t="s">
        <v>75</v>
      </c>
      <c r="F46" s="7" t="s">
        <v>387</v>
      </c>
      <c r="G46" s="5" t="s">
        <v>388</v>
      </c>
      <c r="H46" s="5" t="s">
        <v>389</v>
      </c>
      <c r="I46" s="7" t="s">
        <v>390</v>
      </c>
      <c r="J46" s="8"/>
      <c r="K46" s="8" t="s">
        <v>94</v>
      </c>
    </row>
    <row r="47" ht="152.25" customHeight="1">
      <c r="A47" s="6" t="s">
        <v>391</v>
      </c>
      <c r="B47" s="5" t="s">
        <v>374</v>
      </c>
      <c r="C47" s="5" t="s">
        <v>392</v>
      </c>
      <c r="D47" s="9" t="s">
        <v>71</v>
      </c>
      <c r="E47" s="10" t="s">
        <v>75</v>
      </c>
      <c r="F47" s="7" t="s">
        <v>393</v>
      </c>
      <c r="G47" s="5" t="s">
        <v>394</v>
      </c>
      <c r="H47" s="5" t="s">
        <v>395</v>
      </c>
      <c r="I47" s="5" t="s">
        <v>396</v>
      </c>
      <c r="J47" s="8"/>
      <c r="K47" s="8" t="s">
        <v>94</v>
      </c>
    </row>
    <row r="48" ht="125.25" customHeight="1">
      <c r="A48" s="6" t="s">
        <v>397</v>
      </c>
      <c r="B48" s="5" t="s">
        <v>398</v>
      </c>
      <c r="C48" s="5" t="s">
        <v>399</v>
      </c>
      <c r="D48" s="9" t="s">
        <v>71</v>
      </c>
      <c r="E48" s="10" t="s">
        <v>75</v>
      </c>
      <c r="F48" s="5" t="s">
        <v>83</v>
      </c>
      <c r="G48" s="5" t="s">
        <v>400</v>
      </c>
      <c r="H48" s="5" t="s">
        <v>401</v>
      </c>
      <c r="I48" s="7" t="s">
        <v>402</v>
      </c>
      <c r="J48" s="8"/>
      <c r="K48" s="8" t="s">
        <v>94</v>
      </c>
    </row>
    <row r="49" ht="111.75" customHeight="1">
      <c r="A49" s="6" t="s">
        <v>403</v>
      </c>
      <c r="B49" s="5" t="s">
        <v>398</v>
      </c>
      <c r="C49" s="5" t="s">
        <v>404</v>
      </c>
      <c r="D49" s="9" t="s">
        <v>71</v>
      </c>
      <c r="E49" s="11" t="s">
        <v>115</v>
      </c>
      <c r="F49" s="7" t="s">
        <v>405</v>
      </c>
      <c r="G49" s="5" t="s">
        <v>406</v>
      </c>
      <c r="H49" s="5" t="s">
        <v>407</v>
      </c>
      <c r="I49" s="5" t="s">
        <v>408</v>
      </c>
      <c r="J49" s="8"/>
      <c r="K49" s="8" t="s">
        <v>94</v>
      </c>
    </row>
    <row r="50" ht="111.75" customHeight="1">
      <c r="A50" s="6" t="s">
        <v>409</v>
      </c>
      <c r="B50" s="5" t="s">
        <v>374</v>
      </c>
      <c r="C50" s="5" t="s">
        <v>410</v>
      </c>
      <c r="D50" s="13" t="s">
        <v>138</v>
      </c>
      <c r="E50" s="10" t="s">
        <v>75</v>
      </c>
      <c r="F50" s="5" t="s">
        <v>83</v>
      </c>
      <c r="G50" s="5" t="s">
        <v>411</v>
      </c>
      <c r="H50" s="5" t="s">
        <v>412</v>
      </c>
      <c r="I50" s="5" t="s">
        <v>413</v>
      </c>
      <c r="J50" s="8"/>
      <c r="K50" s="8" t="s">
        <v>94</v>
      </c>
    </row>
    <row r="51" ht="98.25" customHeight="1">
      <c r="A51" s="6" t="s">
        <v>414</v>
      </c>
      <c r="B51" s="5" t="s">
        <v>415</v>
      </c>
      <c r="C51" s="5" t="s">
        <v>416</v>
      </c>
      <c r="D51" s="13" t="s">
        <v>138</v>
      </c>
      <c r="E51" s="10" t="s">
        <v>75</v>
      </c>
      <c r="F51" s="5" t="s">
        <v>83</v>
      </c>
      <c r="G51" s="5" t="s">
        <v>417</v>
      </c>
      <c r="H51" s="5" t="s">
        <v>418</v>
      </c>
      <c r="I51" s="5" t="s">
        <v>419</v>
      </c>
      <c r="J51" s="8"/>
      <c r="K51" s="8" t="s">
        <v>94</v>
      </c>
    </row>
    <row r="52" ht="84.75" customHeight="1">
      <c r="A52" s="6" t="s">
        <v>420</v>
      </c>
      <c r="B52" s="5" t="s">
        <v>415</v>
      </c>
      <c r="C52" s="5" t="s">
        <v>421</v>
      </c>
      <c r="D52" s="13" t="s">
        <v>138</v>
      </c>
      <c r="E52" s="10" t="s">
        <v>75</v>
      </c>
      <c r="F52" s="5" t="s">
        <v>83</v>
      </c>
      <c r="G52" s="5" t="s">
        <v>422</v>
      </c>
      <c r="H52" s="5" t="s">
        <v>423</v>
      </c>
      <c r="I52" s="5" t="s">
        <v>424</v>
      </c>
      <c r="J52" s="8"/>
      <c r="K52" s="8" t="s">
        <v>94</v>
      </c>
    </row>
    <row r="53" ht="111.75" customHeight="1">
      <c r="A53" s="6" t="s">
        <v>425</v>
      </c>
      <c r="B53" s="5" t="s">
        <v>415</v>
      </c>
      <c r="C53" s="5" t="s">
        <v>426</v>
      </c>
      <c r="D53" s="13" t="s">
        <v>138</v>
      </c>
      <c r="E53" s="10" t="s">
        <v>75</v>
      </c>
      <c r="F53" s="7" t="s">
        <v>427</v>
      </c>
      <c r="G53" s="5" t="s">
        <v>428</v>
      </c>
      <c r="H53" s="5" t="s">
        <v>429</v>
      </c>
      <c r="I53" s="5" t="s">
        <v>430</v>
      </c>
      <c r="J53" s="8"/>
      <c r="K53" s="8" t="s">
        <v>94</v>
      </c>
    </row>
    <row r="54" ht="111.75" customHeight="1">
      <c r="A54" s="6" t="s">
        <v>431</v>
      </c>
      <c r="B54" s="5" t="s">
        <v>415</v>
      </c>
      <c r="C54" s="5" t="s">
        <v>432</v>
      </c>
      <c r="D54" s="13" t="s">
        <v>138</v>
      </c>
      <c r="E54" s="10" t="s">
        <v>75</v>
      </c>
      <c r="F54" s="5" t="s">
        <v>433</v>
      </c>
      <c r="G54" s="5" t="s">
        <v>434</v>
      </c>
      <c r="H54" s="5" t="s">
        <v>435</v>
      </c>
      <c r="I54" s="5" t="s">
        <v>436</v>
      </c>
      <c r="J54" s="8"/>
      <c r="K54" s="8" t="s">
        <v>94</v>
      </c>
    </row>
    <row r="55" ht="138.75" customHeight="1">
      <c r="A55" s="6" t="s">
        <v>437</v>
      </c>
      <c r="B55" s="5" t="s">
        <v>415</v>
      </c>
      <c r="C55" s="5" t="s">
        <v>438</v>
      </c>
      <c r="D55" s="13" t="s">
        <v>138</v>
      </c>
      <c r="E55" s="10" t="s">
        <v>75</v>
      </c>
      <c r="F55" s="5" t="s">
        <v>439</v>
      </c>
      <c r="G55" s="5" t="s">
        <v>440</v>
      </c>
      <c r="H55" s="5" t="s">
        <v>441</v>
      </c>
      <c r="I55" s="5" t="s">
        <v>442</v>
      </c>
      <c r="J55" s="8"/>
      <c r="K55" s="8" t="s">
        <v>94</v>
      </c>
    </row>
    <row r="56" ht="84.75" customHeight="1">
      <c r="A56" s="6" t="s">
        <v>443</v>
      </c>
      <c r="B56" s="5" t="s">
        <v>415</v>
      </c>
      <c r="C56" s="5" t="s">
        <v>444</v>
      </c>
      <c r="D56" s="9" t="s">
        <v>71</v>
      </c>
      <c r="E56" s="11" t="s">
        <v>115</v>
      </c>
      <c r="F56" s="5" t="s">
        <v>83</v>
      </c>
      <c r="G56" s="5" t="s">
        <v>445</v>
      </c>
      <c r="H56" s="7" t="s">
        <v>446</v>
      </c>
      <c r="I56" s="5" t="s">
        <v>447</v>
      </c>
      <c r="J56" s="8"/>
      <c r="K56" s="8" t="s">
        <v>94</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56"/>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8.0"/>
    <col customWidth="1" min="3" max="3" width="56.0"/>
    <col customWidth="1" min="4" max="4" width="70.0"/>
    <col customWidth="1" min="5" max="5" width="11.0"/>
    <col customWidth="1" min="6" max="6" width="14.0"/>
    <col customWidth="1" min="7" max="26" width="8.71"/>
  </cols>
  <sheetData>
    <row r="1" ht="30.0" customHeight="1">
      <c r="A1" s="2" t="s">
        <v>3</v>
      </c>
      <c r="B1" s="2" t="s">
        <v>8</v>
      </c>
      <c r="C1" s="2" t="s">
        <v>10</v>
      </c>
      <c r="D1" s="2" t="s">
        <v>2</v>
      </c>
      <c r="E1" s="2" t="s">
        <v>9</v>
      </c>
      <c r="F1" s="2" t="s">
        <v>14</v>
      </c>
    </row>
    <row r="2" ht="30.75" customHeight="1">
      <c r="A2" s="6" t="s">
        <v>17</v>
      </c>
      <c r="B2" s="5" t="s">
        <v>37</v>
      </c>
      <c r="C2" s="5" t="s">
        <v>39</v>
      </c>
      <c r="D2" s="5" t="s">
        <v>42</v>
      </c>
      <c r="E2" s="8">
        <f t="shared" ref="E2:E25" si="1">IF(D2="",0,LEN(D2)-LEN(SUBSTITUTE(D2,",",""))+1)</f>
        <v>7</v>
      </c>
      <c r="F2" s="8" t="str">
        <f t="shared" ref="F2:F25" si="2">IF(E2&gt;0,"Covered","NOT COVERED")</f>
        <v>Covered</v>
      </c>
    </row>
    <row r="3" ht="17.25" customHeight="1">
      <c r="A3" s="6" t="s">
        <v>76</v>
      </c>
      <c r="B3" s="5" t="s">
        <v>37</v>
      </c>
      <c r="C3" s="5" t="s">
        <v>77</v>
      </c>
      <c r="D3" s="5" t="s">
        <v>78</v>
      </c>
      <c r="E3" s="8">
        <f t="shared" si="1"/>
        <v>6</v>
      </c>
      <c r="F3" s="8" t="str">
        <f t="shared" si="2"/>
        <v>Covered</v>
      </c>
    </row>
    <row r="4" ht="30.75" customHeight="1">
      <c r="A4" s="6" t="s">
        <v>80</v>
      </c>
      <c r="B4" s="5" t="s">
        <v>37</v>
      </c>
      <c r="C4" s="5" t="s">
        <v>81</v>
      </c>
      <c r="D4" s="5" t="s">
        <v>82</v>
      </c>
      <c r="E4" s="8">
        <f t="shared" si="1"/>
        <v>8</v>
      </c>
      <c r="F4" s="8" t="str">
        <f t="shared" si="2"/>
        <v>Covered</v>
      </c>
    </row>
    <row r="5" ht="30.75" customHeight="1">
      <c r="A5" s="6" t="s">
        <v>84</v>
      </c>
      <c r="B5" s="5" t="s">
        <v>37</v>
      </c>
      <c r="C5" s="5" t="s">
        <v>85</v>
      </c>
      <c r="D5" s="5" t="s">
        <v>88</v>
      </c>
      <c r="E5" s="8">
        <f t="shared" si="1"/>
        <v>11</v>
      </c>
      <c r="F5" s="8" t="str">
        <f t="shared" si="2"/>
        <v>Covered</v>
      </c>
    </row>
    <row r="6" ht="17.25" customHeight="1">
      <c r="A6" s="6" t="s">
        <v>91</v>
      </c>
      <c r="B6" s="5" t="s">
        <v>37</v>
      </c>
      <c r="C6" s="5" t="s">
        <v>92</v>
      </c>
      <c r="D6" s="5" t="s">
        <v>93</v>
      </c>
      <c r="E6" s="8">
        <f t="shared" si="1"/>
        <v>6</v>
      </c>
      <c r="F6" s="8" t="str">
        <f t="shared" si="2"/>
        <v>Covered</v>
      </c>
    </row>
    <row r="7" ht="44.25" customHeight="1">
      <c r="A7" s="6" t="s">
        <v>95</v>
      </c>
      <c r="B7" s="5" t="s">
        <v>37</v>
      </c>
      <c r="C7" s="5" t="s">
        <v>96</v>
      </c>
      <c r="D7" s="5" t="s">
        <v>99</v>
      </c>
      <c r="E7" s="8">
        <f t="shared" si="1"/>
        <v>15</v>
      </c>
      <c r="F7" s="8" t="str">
        <f t="shared" si="2"/>
        <v>Covered</v>
      </c>
    </row>
    <row r="8" ht="17.25" customHeight="1">
      <c r="A8" s="6" t="s">
        <v>102</v>
      </c>
      <c r="B8" s="5" t="s">
        <v>103</v>
      </c>
      <c r="C8" s="5" t="s">
        <v>105</v>
      </c>
      <c r="D8" s="5" t="s">
        <v>107</v>
      </c>
      <c r="E8" s="8">
        <f t="shared" si="1"/>
        <v>5</v>
      </c>
      <c r="F8" s="8" t="str">
        <f t="shared" si="2"/>
        <v>Covered</v>
      </c>
    </row>
    <row r="9" ht="17.25" customHeight="1">
      <c r="A9" s="6" t="s">
        <v>109</v>
      </c>
      <c r="B9" s="5" t="s">
        <v>103</v>
      </c>
      <c r="C9" s="5" t="s">
        <v>111</v>
      </c>
      <c r="D9" s="5" t="s">
        <v>112</v>
      </c>
      <c r="E9" s="8">
        <f t="shared" si="1"/>
        <v>4</v>
      </c>
      <c r="F9" s="8" t="str">
        <f t="shared" si="2"/>
        <v>Covered</v>
      </c>
    </row>
    <row r="10" ht="30.75" customHeight="1">
      <c r="A10" s="6" t="s">
        <v>116</v>
      </c>
      <c r="B10" s="5" t="s">
        <v>103</v>
      </c>
      <c r="C10" s="5" t="s">
        <v>118</v>
      </c>
      <c r="D10" s="5" t="s">
        <v>119</v>
      </c>
      <c r="E10" s="8">
        <f t="shared" si="1"/>
        <v>4</v>
      </c>
      <c r="F10" s="8" t="str">
        <f t="shared" si="2"/>
        <v>Covered</v>
      </c>
    </row>
    <row r="11" ht="30.75" customHeight="1">
      <c r="A11" s="6" t="s">
        <v>120</v>
      </c>
      <c r="B11" s="5" t="s">
        <v>103</v>
      </c>
      <c r="C11" s="5" t="s">
        <v>121</v>
      </c>
      <c r="D11" s="5" t="s">
        <v>122</v>
      </c>
      <c r="E11" s="8">
        <f t="shared" si="1"/>
        <v>3</v>
      </c>
      <c r="F11" s="8" t="str">
        <f t="shared" si="2"/>
        <v>Covered</v>
      </c>
    </row>
    <row r="12" ht="17.25" customHeight="1">
      <c r="A12" s="6" t="s">
        <v>123</v>
      </c>
      <c r="B12" s="5" t="s">
        <v>79</v>
      </c>
      <c r="C12" s="5" t="s">
        <v>124</v>
      </c>
      <c r="D12" s="5" t="s">
        <v>125</v>
      </c>
      <c r="E12" s="8">
        <f t="shared" si="1"/>
        <v>4</v>
      </c>
      <c r="F12" s="8" t="str">
        <f t="shared" si="2"/>
        <v>Covered</v>
      </c>
    </row>
    <row r="13" ht="17.25" customHeight="1">
      <c r="A13" s="6" t="s">
        <v>126</v>
      </c>
      <c r="B13" s="5" t="s">
        <v>79</v>
      </c>
      <c r="C13" s="5" t="s">
        <v>127</v>
      </c>
      <c r="D13" s="5" t="s">
        <v>128</v>
      </c>
      <c r="E13" s="8">
        <f t="shared" si="1"/>
        <v>5</v>
      </c>
      <c r="F13" s="8" t="str">
        <f t="shared" si="2"/>
        <v>Covered</v>
      </c>
    </row>
    <row r="14" ht="17.25" customHeight="1">
      <c r="A14" s="6" t="s">
        <v>131</v>
      </c>
      <c r="B14" s="5" t="s">
        <v>79</v>
      </c>
      <c r="C14" s="5" t="s">
        <v>132</v>
      </c>
      <c r="D14" s="5" t="s">
        <v>133</v>
      </c>
      <c r="E14" s="8">
        <f t="shared" si="1"/>
        <v>5</v>
      </c>
      <c r="F14" s="8" t="str">
        <f t="shared" si="2"/>
        <v>Covered</v>
      </c>
    </row>
    <row r="15" ht="30.75" customHeight="1">
      <c r="A15" s="6" t="s">
        <v>137</v>
      </c>
      <c r="B15" s="5" t="s">
        <v>79</v>
      </c>
      <c r="C15" s="5" t="s">
        <v>139</v>
      </c>
      <c r="D15" s="5" t="s">
        <v>140</v>
      </c>
      <c r="E15" s="8">
        <f t="shared" si="1"/>
        <v>9</v>
      </c>
      <c r="F15" s="8" t="str">
        <f t="shared" si="2"/>
        <v>Covered</v>
      </c>
    </row>
    <row r="16" ht="17.25" customHeight="1">
      <c r="A16" s="6" t="s">
        <v>141</v>
      </c>
      <c r="B16" s="5" t="s">
        <v>79</v>
      </c>
      <c r="C16" s="5" t="s">
        <v>142</v>
      </c>
      <c r="D16" s="5" t="s">
        <v>143</v>
      </c>
      <c r="E16" s="8">
        <f t="shared" si="1"/>
        <v>4</v>
      </c>
      <c r="F16" s="8" t="str">
        <f t="shared" si="2"/>
        <v>Covered</v>
      </c>
    </row>
    <row r="17" ht="17.25" customHeight="1">
      <c r="A17" s="6" t="s">
        <v>144</v>
      </c>
      <c r="B17" s="5" t="s">
        <v>79</v>
      </c>
      <c r="C17" s="5" t="s">
        <v>145</v>
      </c>
      <c r="D17" s="5" t="s">
        <v>146</v>
      </c>
      <c r="E17" s="8">
        <f t="shared" si="1"/>
        <v>5</v>
      </c>
      <c r="F17" s="8" t="str">
        <f t="shared" si="2"/>
        <v>Covered</v>
      </c>
    </row>
    <row r="18" ht="30.75" customHeight="1">
      <c r="A18" s="6" t="s">
        <v>147</v>
      </c>
      <c r="B18" s="5" t="s">
        <v>149</v>
      </c>
      <c r="C18" s="5" t="s">
        <v>151</v>
      </c>
      <c r="D18" s="5" t="s">
        <v>152</v>
      </c>
      <c r="E18" s="8">
        <f t="shared" si="1"/>
        <v>7</v>
      </c>
      <c r="F18" s="8" t="str">
        <f t="shared" si="2"/>
        <v>Covered</v>
      </c>
    </row>
    <row r="19" ht="17.25" customHeight="1">
      <c r="A19" s="6" t="s">
        <v>156</v>
      </c>
      <c r="B19" s="5" t="s">
        <v>157</v>
      </c>
      <c r="C19" s="5" t="s">
        <v>158</v>
      </c>
      <c r="D19" s="5" t="s">
        <v>161</v>
      </c>
      <c r="E19" s="8">
        <f t="shared" si="1"/>
        <v>4</v>
      </c>
      <c r="F19" s="8" t="str">
        <f t="shared" si="2"/>
        <v>Covered</v>
      </c>
    </row>
    <row r="20" ht="30.75" customHeight="1">
      <c r="A20" s="6" t="s">
        <v>165</v>
      </c>
      <c r="B20" s="5" t="s">
        <v>157</v>
      </c>
      <c r="C20" s="5" t="s">
        <v>166</v>
      </c>
      <c r="D20" s="5" t="s">
        <v>169</v>
      </c>
      <c r="E20" s="8">
        <f t="shared" si="1"/>
        <v>7</v>
      </c>
      <c r="F20" s="8" t="str">
        <f t="shared" si="2"/>
        <v>Covered</v>
      </c>
    </row>
    <row r="21" ht="30.75" customHeight="1">
      <c r="A21" s="6" t="s">
        <v>172</v>
      </c>
      <c r="B21" s="5" t="s">
        <v>157</v>
      </c>
      <c r="C21" s="5" t="s">
        <v>174</v>
      </c>
      <c r="D21" s="5" t="s">
        <v>175</v>
      </c>
      <c r="E21" s="8">
        <f t="shared" si="1"/>
        <v>3</v>
      </c>
      <c r="F21" s="8" t="str">
        <f t="shared" si="2"/>
        <v>Covered</v>
      </c>
    </row>
    <row r="22" ht="30.75" customHeight="1">
      <c r="A22" s="6" t="s">
        <v>178</v>
      </c>
      <c r="B22" s="5" t="s">
        <v>157</v>
      </c>
      <c r="C22" s="5" t="s">
        <v>181</v>
      </c>
      <c r="D22" s="5" t="s">
        <v>182</v>
      </c>
      <c r="E22" s="8">
        <f t="shared" si="1"/>
        <v>9</v>
      </c>
      <c r="F22" s="8" t="str">
        <f t="shared" si="2"/>
        <v>Covered</v>
      </c>
    </row>
    <row r="23" ht="30.75" customHeight="1">
      <c r="A23" s="6" t="s">
        <v>185</v>
      </c>
      <c r="B23" s="5" t="s">
        <v>157</v>
      </c>
      <c r="C23" s="5" t="s">
        <v>186</v>
      </c>
      <c r="D23" s="5" t="s">
        <v>187</v>
      </c>
      <c r="E23" s="8">
        <f t="shared" si="1"/>
        <v>3</v>
      </c>
      <c r="F23" s="8" t="str">
        <f t="shared" si="2"/>
        <v>Covered</v>
      </c>
    </row>
    <row r="24" ht="30.75" customHeight="1">
      <c r="A24" s="6" t="s">
        <v>191</v>
      </c>
      <c r="B24" s="5" t="s">
        <v>157</v>
      </c>
      <c r="C24" s="5" t="s">
        <v>193</v>
      </c>
      <c r="D24" s="5" t="s">
        <v>195</v>
      </c>
      <c r="E24" s="8">
        <f t="shared" si="1"/>
        <v>10</v>
      </c>
      <c r="F24" s="8" t="str">
        <f t="shared" si="2"/>
        <v>Covered</v>
      </c>
    </row>
    <row r="25" ht="30.75" customHeight="1">
      <c r="A25" s="6" t="s">
        <v>200</v>
      </c>
      <c r="B25" s="5" t="s">
        <v>157</v>
      </c>
      <c r="C25" s="5" t="s">
        <v>202</v>
      </c>
      <c r="D25" s="5" t="s">
        <v>203</v>
      </c>
      <c r="E25" s="8">
        <f t="shared" si="1"/>
        <v>5</v>
      </c>
      <c r="F25" s="8" t="str">
        <f t="shared" si="2"/>
        <v>Covered</v>
      </c>
    </row>
    <row r="26" ht="15.75" customHeight="1"/>
    <row r="27" ht="15.75" customHeight="1">
      <c r="A27" s="14" t="s">
        <v>209</v>
      </c>
      <c r="E27" s="14">
        <f>COUNTA(A2:A25)</f>
        <v>24</v>
      </c>
    </row>
    <row r="28" ht="15.75" customHeight="1">
      <c r="A28" s="14" t="s">
        <v>216</v>
      </c>
      <c r="E28" s="14">
        <f>COUNTIF(F2:F25,"Covered")</f>
        <v>24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2.0"/>
    <col customWidth="1" min="3" max="3" width="48.0"/>
    <col customWidth="1" min="4" max="4" width="30.0"/>
    <col customWidth="1" min="5" max="26" width="8.71"/>
  </cols>
  <sheetData>
    <row r="1" ht="30.0" customHeight="1">
      <c r="A1" s="2" t="s">
        <v>1</v>
      </c>
      <c r="B1" s="2" t="s">
        <v>5</v>
      </c>
      <c r="C1" s="2" t="s">
        <v>6</v>
      </c>
      <c r="D1" s="2" t="s">
        <v>7</v>
      </c>
    </row>
    <row r="2">
      <c r="A2" s="5" t="s">
        <v>11</v>
      </c>
      <c r="B2" s="5" t="s">
        <v>25</v>
      </c>
      <c r="C2" s="5" t="s">
        <v>26</v>
      </c>
      <c r="D2" s="5"/>
    </row>
    <row r="3">
      <c r="A3" s="5" t="s">
        <v>11</v>
      </c>
      <c r="B3" s="5" t="s">
        <v>27</v>
      </c>
      <c r="C3" s="5" t="s">
        <v>28</v>
      </c>
      <c r="D3" s="5"/>
    </row>
    <row r="4">
      <c r="A4" s="5" t="s">
        <v>11</v>
      </c>
      <c r="B4" s="5" t="s">
        <v>30</v>
      </c>
      <c r="C4" s="5" t="s">
        <v>31</v>
      </c>
      <c r="D4" s="5"/>
    </row>
    <row r="5">
      <c r="A5" s="5" t="s">
        <v>11</v>
      </c>
      <c r="B5" s="5" t="s">
        <v>32</v>
      </c>
      <c r="C5" s="5" t="s">
        <v>33</v>
      </c>
      <c r="D5" s="5"/>
    </row>
    <row r="6">
      <c r="A6" s="5" t="s">
        <v>11</v>
      </c>
      <c r="B6" s="5" t="s">
        <v>34</v>
      </c>
      <c r="C6" s="5" t="s">
        <v>35</v>
      </c>
      <c r="D6" s="5"/>
    </row>
    <row r="7">
      <c r="A7" s="5" t="s">
        <v>11</v>
      </c>
      <c r="B7" s="5" t="s">
        <v>36</v>
      </c>
      <c r="C7" s="5" t="s">
        <v>38</v>
      </c>
      <c r="D7" s="5"/>
    </row>
    <row r="8">
      <c r="A8" s="5" t="s">
        <v>11</v>
      </c>
      <c r="B8" s="5" t="s">
        <v>41</v>
      </c>
      <c r="C8" s="5" t="s">
        <v>43</v>
      </c>
      <c r="D8" s="5"/>
    </row>
    <row r="9">
      <c r="A9" s="5" t="s">
        <v>44</v>
      </c>
      <c r="B9" s="5" t="s">
        <v>45</v>
      </c>
      <c r="C9" s="5" t="s">
        <v>46</v>
      </c>
      <c r="D9" s="5" t="s">
        <v>47</v>
      </c>
    </row>
    <row r="10">
      <c r="A10" s="5" t="s">
        <v>44</v>
      </c>
      <c r="B10" s="5" t="s">
        <v>49</v>
      </c>
      <c r="C10" s="5" t="s">
        <v>50</v>
      </c>
      <c r="D10" s="5" t="s">
        <v>51</v>
      </c>
    </row>
    <row r="11">
      <c r="A11" s="5" t="s">
        <v>44</v>
      </c>
      <c r="B11" s="5" t="s">
        <v>52</v>
      </c>
      <c r="C11" s="5" t="s">
        <v>53</v>
      </c>
      <c r="D11" s="5" t="s">
        <v>54</v>
      </c>
    </row>
    <row r="12">
      <c r="A12" s="5" t="s">
        <v>44</v>
      </c>
      <c r="B12" s="5" t="s">
        <v>55</v>
      </c>
      <c r="C12" s="5" t="s">
        <v>56</v>
      </c>
      <c r="D12" s="5" t="s">
        <v>57</v>
      </c>
    </row>
    <row r="13">
      <c r="A13" s="5" t="s">
        <v>44</v>
      </c>
      <c r="B13" s="5" t="s">
        <v>58</v>
      </c>
      <c r="C13" s="5" t="s">
        <v>59</v>
      </c>
      <c r="D13" s="5" t="s">
        <v>60</v>
      </c>
    </row>
    <row r="14">
      <c r="A14" s="5" t="s">
        <v>44</v>
      </c>
      <c r="B14" s="5" t="s">
        <v>61</v>
      </c>
      <c r="C14" s="5" t="s">
        <v>62</v>
      </c>
      <c r="D14" s="5" t="s">
        <v>63</v>
      </c>
    </row>
    <row r="15">
      <c r="A15" s="5" t="s">
        <v>44</v>
      </c>
      <c r="B15" s="5" t="s">
        <v>65</v>
      </c>
      <c r="C15" s="5" t="s">
        <v>66</v>
      </c>
      <c r="D15" s="5" t="s">
        <v>67</v>
      </c>
    </row>
    <row r="16">
      <c r="A16" s="5" t="s">
        <v>44</v>
      </c>
      <c r="B16" s="5" t="s">
        <v>68</v>
      </c>
      <c r="C16" s="5" t="s">
        <v>69</v>
      </c>
      <c r="D16" s="5"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0"/>
    <col customWidth="1" min="2" max="2" width="18.0"/>
    <col customWidth="1" min="3" max="26" width="8.71"/>
  </cols>
  <sheetData>
    <row r="1">
      <c r="A1" s="1" t="s">
        <v>0</v>
      </c>
    </row>
    <row r="3">
      <c r="A3" s="3" t="s">
        <v>4</v>
      </c>
      <c r="B3" s="3" t="s">
        <v>9</v>
      </c>
    </row>
    <row r="4">
      <c r="A4" s="4" t="s">
        <v>12</v>
      </c>
      <c r="B4" s="4">
        <f>COUNTIF('Test Cases'!$A$2:$A$56,"WD-POS-*")</f>
        <v>3</v>
      </c>
    </row>
    <row r="5">
      <c r="A5" s="4" t="s">
        <v>64</v>
      </c>
      <c r="B5" s="4">
        <f>COUNTIF('Test Cases'!$A$2:$A$56,"WD-NEG-*")</f>
        <v>8</v>
      </c>
    </row>
    <row r="6">
      <c r="A6" s="4" t="s">
        <v>72</v>
      </c>
      <c r="B6" s="4">
        <f>COUNTIF('Test Cases'!$A$2:$A$56,"WD-BVA-*")</f>
        <v>6</v>
      </c>
    </row>
    <row r="7">
      <c r="A7" s="4" t="s">
        <v>73</v>
      </c>
      <c r="B7" s="4">
        <f>COUNTIF('Test Cases'!$A$2:$A$56,"WD-BAL-*")</f>
        <v>7</v>
      </c>
    </row>
    <row r="8">
      <c r="A8" s="4" t="s">
        <v>74</v>
      </c>
      <c r="B8" s="4">
        <f>COUNTIF('Test Cases'!$A$2:$A$56,"WD-BNK-*")</f>
        <v>6</v>
      </c>
    </row>
    <row r="9">
      <c r="A9" s="4" t="s">
        <v>79</v>
      </c>
      <c r="B9" s="4">
        <f>COUNTIF('Test Cases'!$A$2:$A$56,"WD-OTP-*")</f>
        <v>12</v>
      </c>
    </row>
    <row r="10">
      <c r="A10" s="4" t="s">
        <v>87</v>
      </c>
      <c r="B10" s="4">
        <f>COUNTIF('Test Cases'!$A$2:$A$56,"WD-TRX-*")</f>
        <v>7</v>
      </c>
    </row>
    <row r="11">
      <c r="A11" s="4" t="s">
        <v>98</v>
      </c>
      <c r="B11" s="4">
        <f>COUNTIF('Test Cases'!$A$2:$A$56,"WD-DUP-*")</f>
        <v>6</v>
      </c>
    </row>
    <row r="12">
      <c r="A12" s="12" t="s">
        <v>117</v>
      </c>
      <c r="B12" s="12">
        <f>SUM(B4:B11)</f>
        <v>55</v>
      </c>
    </row>
    <row r="14">
      <c r="A14" s="3" t="s">
        <v>16</v>
      </c>
      <c r="B14" s="3" t="s">
        <v>9</v>
      </c>
    </row>
    <row r="15">
      <c r="A15" s="4" t="s">
        <v>71</v>
      </c>
      <c r="B15" s="4">
        <f>COUNTIF('Test Cases'!$D$2:$D$56,A15)</f>
        <v>12</v>
      </c>
    </row>
    <row r="16">
      <c r="A16" s="4" t="s">
        <v>138</v>
      </c>
      <c r="B16" s="4">
        <f>COUNTIF('Test Cases'!$D$2:$D$56,A16)</f>
        <v>32</v>
      </c>
    </row>
    <row r="17">
      <c r="A17" s="4" t="s">
        <v>180</v>
      </c>
      <c r="B17" s="4">
        <f>COUNTIF('Test Cases'!$D$2:$D$56,A17)</f>
        <v>11</v>
      </c>
    </row>
    <row r="19">
      <c r="A19" s="3" t="s">
        <v>18</v>
      </c>
      <c r="B19" s="3" t="s">
        <v>9</v>
      </c>
    </row>
    <row r="20">
      <c r="A20" s="4" t="s">
        <v>75</v>
      </c>
      <c r="B20" s="4">
        <f>COUNTIF('Test Cases'!$E$2:$E$56,A20)</f>
        <v>38</v>
      </c>
    </row>
    <row r="21" ht="15.75" customHeight="1">
      <c r="A21" s="4" t="s">
        <v>115</v>
      </c>
      <c r="B21" s="4">
        <f>COUNTIF('Test Cases'!$E$2:$E$56,A21)</f>
        <v>15</v>
      </c>
    </row>
    <row r="22" ht="15.75" customHeight="1">
      <c r="A22" s="4" t="s">
        <v>210</v>
      </c>
      <c r="B22" s="4">
        <f>COUNTIF('Test Cases'!$E$2:$E$56,A22)</f>
        <v>2</v>
      </c>
    </row>
    <row r="23" ht="15.75" customHeight="1"/>
    <row r="24" ht="15.75" customHeight="1">
      <c r="A24" s="3" t="s">
        <v>24</v>
      </c>
      <c r="B24" s="3" t="s">
        <v>9</v>
      </c>
    </row>
    <row r="25" ht="15.75" customHeight="1">
      <c r="A25" s="4" t="s">
        <v>94</v>
      </c>
      <c r="B25" s="4">
        <f>COUNTIF('Test Cases'!$K$2:$K$56,A25)</f>
        <v>55</v>
      </c>
    </row>
    <row r="26" ht="15.75" customHeight="1"/>
    <row r="27" ht="15.75" customHeight="1">
      <c r="A27" s="4"/>
      <c r="B27" s="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